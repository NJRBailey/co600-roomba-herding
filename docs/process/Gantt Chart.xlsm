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holas\Desktop\CO600\Git\co600-roomba-herding\docs\process\"/>
    </mc:Choice>
  </mc:AlternateContent>
  <xr:revisionPtr revIDLastSave="0" documentId="8_{BFC67199-DC0A-4BAE-9509-7804CFCE2442}" xr6:coauthVersionLast="41" xr6:coauthVersionMax="41" xr10:uidLastSave="{00000000-0000-0000-0000-000000000000}"/>
  <bookViews>
    <workbookView xWindow="-110" yWindow="-110" windowWidth="21820" windowHeight="14020" xr2:uid="{00000000-000D-0000-FFFF-FFFF00000000}"/>
  </bookViews>
  <sheets>
    <sheet name="Drone Shepherd" sheetId="2" r:id="rId1"/>
  </sheets>
  <definedNames>
    <definedName name="member">'Drone Shepherd'!$O$3:$O$16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4" i="2"/>
  <c r="G65" i="2"/>
  <c r="G66" i="2"/>
  <c r="G67" i="2"/>
  <c r="G68" i="2"/>
  <c r="G69" i="2"/>
  <c r="G70" i="2"/>
  <c r="G71" i="2"/>
  <c r="G72" i="2"/>
  <c r="G74" i="2"/>
  <c r="G75" i="2"/>
  <c r="G76" i="2"/>
  <c r="G77" i="2"/>
  <c r="G78" i="2"/>
  <c r="G79" i="2"/>
  <c r="G80" i="2"/>
  <c r="G81" i="2"/>
  <c r="G82" i="2"/>
  <c r="G83" i="2"/>
  <c r="G85" i="2"/>
  <c r="G86" i="2"/>
  <c r="G87" i="2"/>
  <c r="G88" i="2"/>
  <c r="G89" i="2"/>
  <c r="G90" i="2"/>
  <c r="G91" i="2"/>
  <c r="G92" i="2"/>
  <c r="G93" i="2"/>
  <c r="G94" i="2"/>
  <c r="G95" i="2"/>
  <c r="G96" i="2"/>
  <c r="G98" i="2"/>
  <c r="G99" i="2"/>
  <c r="G100" i="2"/>
  <c r="G101" i="2"/>
  <c r="G102" i="2"/>
  <c r="G103" i="2"/>
  <c r="G104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3" i="2"/>
  <c r="G124" i="2"/>
  <c r="G125" i="2"/>
  <c r="G126" i="2"/>
  <c r="G127" i="2"/>
  <c r="G128" i="2"/>
  <c r="G129" i="2"/>
  <c r="G130" i="2"/>
  <c r="G131" i="2"/>
  <c r="G132" i="2"/>
  <c r="G133" i="2"/>
  <c r="F18" i="2"/>
  <c r="F19" i="2"/>
  <c r="F20" i="2"/>
  <c r="F21" i="2"/>
  <c r="F22" i="2"/>
  <c r="F23" i="2"/>
  <c r="F24" i="2"/>
  <c r="F25" i="2"/>
  <c r="F26" i="2"/>
  <c r="F27" i="2"/>
  <c r="F28" i="2"/>
  <c r="F30" i="2"/>
  <c r="F31" i="2"/>
  <c r="F32" i="2"/>
  <c r="F33" i="2"/>
  <c r="F34" i="2"/>
  <c r="F35" i="2"/>
  <c r="F36" i="2"/>
  <c r="F37" i="2"/>
  <c r="F38" i="2"/>
  <c r="F39" i="2"/>
  <c r="F40" i="2"/>
  <c r="F41" i="2"/>
  <c r="F43" i="2"/>
  <c r="F44" i="2"/>
  <c r="F45" i="2"/>
  <c r="F46" i="2"/>
  <c r="F47" i="2"/>
  <c r="F48" i="2"/>
  <c r="F49" i="2"/>
  <c r="F50" i="2"/>
  <c r="F52" i="2"/>
  <c r="F53" i="2"/>
  <c r="F54" i="2"/>
  <c r="F55" i="2"/>
  <c r="F56" i="2"/>
  <c r="F57" i="2"/>
  <c r="F58" i="2"/>
  <c r="F59" i="2"/>
  <c r="F60" i="2"/>
  <c r="F61" i="2"/>
  <c r="F62" i="2"/>
  <c r="F64" i="2"/>
  <c r="F65" i="2"/>
  <c r="F66" i="2"/>
  <c r="F67" i="2"/>
  <c r="F68" i="2"/>
  <c r="F69" i="2"/>
  <c r="F70" i="2"/>
  <c r="F71" i="2"/>
  <c r="F72" i="2"/>
  <c r="F74" i="2"/>
  <c r="F75" i="2"/>
  <c r="F76" i="2"/>
  <c r="F77" i="2"/>
  <c r="F78" i="2"/>
  <c r="F79" i="2"/>
  <c r="F80" i="2"/>
  <c r="F81" i="2"/>
  <c r="F82" i="2"/>
  <c r="F83" i="2"/>
  <c r="F85" i="2"/>
  <c r="F86" i="2"/>
  <c r="F87" i="2"/>
  <c r="F88" i="2"/>
  <c r="F89" i="2"/>
  <c r="F90" i="2"/>
  <c r="F91" i="2"/>
  <c r="F92" i="2"/>
  <c r="F93" i="2"/>
  <c r="F94" i="2"/>
  <c r="F95" i="2"/>
  <c r="F96" i="2"/>
  <c r="F98" i="2"/>
  <c r="F99" i="2"/>
  <c r="F100" i="2"/>
  <c r="F101" i="2"/>
  <c r="F102" i="2"/>
  <c r="F103" i="2"/>
  <c r="F104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5" i="2"/>
  <c r="F6" i="2"/>
  <c r="F7" i="2"/>
  <c r="F8" i="2"/>
  <c r="F9" i="2"/>
  <c r="F10" i="2"/>
  <c r="F11" i="2"/>
  <c r="F12" i="2"/>
  <c r="F13" i="2"/>
  <c r="F14" i="2"/>
  <c r="F15" i="2"/>
  <c r="F16" i="2"/>
  <c r="F4" i="2"/>
  <c r="F3" i="2"/>
</calcChain>
</file>

<file path=xl/sharedStrings.xml><?xml version="1.0" encoding="utf-8"?>
<sst xmlns="http://schemas.openxmlformats.org/spreadsheetml/2006/main" count="395" uniqueCount="152">
  <si>
    <t>Start Date</t>
  </si>
  <si>
    <t>End Date</t>
  </si>
  <si>
    <t>Finished?</t>
  </si>
  <si>
    <t>Subtask</t>
  </si>
  <si>
    <t>Duration (days)</t>
  </si>
  <si>
    <t>Extended?</t>
  </si>
  <si>
    <t>No</t>
  </si>
  <si>
    <t>Assigned</t>
  </si>
  <si>
    <t>Yes</t>
  </si>
  <si>
    <t>Notes</t>
  </si>
  <si>
    <t>Sprint</t>
  </si>
  <si>
    <t>Message passing diagram</t>
  </si>
  <si>
    <t>Create merge requests for all existing documents and review</t>
  </si>
  <si>
    <t>Breakdown of three pillars of project</t>
  </si>
  <si>
    <t>Create QR reader using OpenCV for ideal circumstance</t>
  </si>
  <si>
    <t>System diagram</t>
  </si>
  <si>
    <t>Read research papers about drone location analysis, propose solutions</t>
  </si>
  <si>
    <t>ROS documentation</t>
  </si>
  <si>
    <t>Create use cases for location problem</t>
  </si>
  <si>
    <t>Decide times for pair programming/team work</t>
  </si>
  <si>
    <t>Make restrospective document</t>
  </si>
  <si>
    <t>Create document template</t>
  </si>
  <si>
    <t>Get started with OpenCV</t>
  </si>
  <si>
    <t>Drone simulator take off and land</t>
  </si>
  <si>
    <t>Get drone keyboard control working</t>
  </si>
  <si>
    <t>Article/Research paper summaries</t>
  </si>
  <si>
    <t>Come up with potential solutions to location problem - Maz</t>
  </si>
  <si>
    <t>Come up with potential solutions to location problem - Nick</t>
  </si>
  <si>
    <t>Come up with potential solutions to location problem - Finlay</t>
  </si>
  <si>
    <t>Add QR code tile in simulator</t>
  </si>
  <si>
    <t>Demo work completed</t>
  </si>
  <si>
    <t>Get whiteboard and write on it</t>
  </si>
  <si>
    <t>Join OpenCV and ROS</t>
  </si>
  <si>
    <t>ROS drone subscribers</t>
  </si>
  <si>
    <t>Understand how to process image from drone front camera</t>
  </si>
  <si>
    <t>Roomba watching</t>
  </si>
  <si>
    <t>Implement skeleton of location module</t>
  </si>
  <si>
    <t>Implement skeleton of image analysis module</t>
  </si>
  <si>
    <t>Write up Roomba watching results</t>
  </si>
  <si>
    <t>Hover above and follow roomba</t>
  </si>
  <si>
    <t>Improve QR reader code</t>
  </si>
  <si>
    <t>Switch to alternative patterns instead of QR codes</t>
  </si>
  <si>
    <t>Define arena</t>
  </si>
  <si>
    <t>Identify QR code from drone feed</t>
  </si>
  <si>
    <t>Email iRobot about roomba behaviour</t>
  </si>
  <si>
    <t>Recognise location of Roomba</t>
  </si>
  <si>
    <t>Design API of image analysis</t>
  </si>
  <si>
    <t>Look up how to interrupt Roomba with lighthouse/alternative method</t>
  </si>
  <si>
    <t>Implement search algorithm for static Roomba</t>
  </si>
  <si>
    <t>Set up simulator with Pen, Arena, static Roomba</t>
  </si>
  <si>
    <t>Update location problem documents to reflect simplification</t>
  </si>
  <si>
    <t>Clean up ROS code</t>
  </si>
  <si>
    <t>Sort out Git directories</t>
  </si>
  <si>
    <t>Roomba commands wishlist</t>
  </si>
  <si>
    <t>Add custom turtlebot to simulator</t>
  </si>
  <si>
    <t>Create service for tracking x and y movement</t>
  </si>
  <si>
    <t>Set up virtual machine with ROS and simulator</t>
  </si>
  <si>
    <t>Write movement for Roomba in simulator</t>
  </si>
  <si>
    <t>Image analysis noise reduction</t>
  </si>
  <si>
    <t>Look into search and rescue algorithms</t>
  </si>
  <si>
    <t>Combine search and hover</t>
  </si>
  <si>
    <t>Add error correction to hover code</t>
  </si>
  <si>
    <t>Test drone at 2m</t>
  </si>
  <si>
    <t>Tello drone</t>
  </si>
  <si>
    <t>Experiment with new roomba</t>
  </si>
  <si>
    <t>Tests for image analysis code</t>
  </si>
  <si>
    <t>Add arena to new simulator world</t>
  </si>
  <si>
    <t>Arena boundaries image analysis</t>
  </si>
  <si>
    <t>Document explaining arena choice</t>
  </si>
  <si>
    <t>Poster</t>
  </si>
  <si>
    <t>Master node</t>
  </si>
  <si>
    <t>Improve search algorithm (search and rescue)</t>
  </si>
  <si>
    <t>Propose testing utility</t>
  </si>
  <si>
    <t>Look at process documents and amend</t>
  </si>
  <si>
    <t>Write roomba movement api</t>
  </si>
  <si>
    <t>Document decisions about focusing on simulator</t>
  </si>
  <si>
    <t>Rotational drift</t>
  </si>
  <si>
    <t>Finlay</t>
  </si>
  <si>
    <t>Add image analysis method to calculate distance</t>
  </si>
  <si>
    <t>Improve search to include drift correction</t>
  </si>
  <si>
    <t>Write return module</t>
  </si>
  <si>
    <t>Ensure all small documents are added to Git</t>
  </si>
  <si>
    <t>Add Roomba code to git</t>
  </si>
  <si>
    <t>Get roomba orientation in simulator</t>
  </si>
  <si>
    <t>Change boundary detection to not include centre</t>
  </si>
  <si>
    <t>Research further methods to improve image analysis</t>
  </si>
  <si>
    <t>Implement image analysis research results</t>
  </si>
  <si>
    <t>Tests for search</t>
  </si>
  <si>
    <t>Go through work done and ensure its documented</t>
  </si>
  <si>
    <t>Write unit tests for navigation code</t>
  </si>
  <si>
    <t>Land drone</t>
  </si>
  <si>
    <t>Add error correction to improved code</t>
  </si>
  <si>
    <t>Roomba service to stop random simulation movement</t>
  </si>
  <si>
    <t>Video demonstrating project</t>
  </si>
  <si>
    <t>Add text to poster</t>
  </si>
  <si>
    <t>Finalise poster</t>
  </si>
  <si>
    <t>Abstract</t>
  </si>
  <si>
    <t>Meeting to understand project</t>
  </si>
  <si>
    <t>Collate information</t>
  </si>
  <si>
    <t>Current and future improvements document for image analysis</t>
  </si>
  <si>
    <t>Document all changes made</t>
  </si>
  <si>
    <t>Doxygen comments</t>
  </si>
  <si>
    <t>Sequence diagrams</t>
  </si>
  <si>
    <t>Corpus CSS and Contents page</t>
  </si>
  <si>
    <t>Look at software engineering documents and see if we need any</t>
  </si>
  <si>
    <t>Image analysis success rates</t>
  </si>
  <si>
    <t>Search success rates</t>
  </si>
  <si>
    <t>Changed project requirements</t>
  </si>
  <si>
    <t>Make sure we have 100% demo</t>
  </si>
  <si>
    <t>Make Git repo public</t>
  </si>
  <si>
    <t>Group retrospective</t>
  </si>
  <si>
    <t>Initial plan/design doc</t>
  </si>
  <si>
    <t>Technical report</t>
  </si>
  <si>
    <t>Improvements to be made for real life transition</t>
  </si>
  <si>
    <t>Acknowledgements</t>
  </si>
  <si>
    <t>Emails sent</t>
  </si>
  <si>
    <t>Image analysis design decisions</t>
  </si>
  <si>
    <t>Image analysis tests document</t>
  </si>
  <si>
    <t>Improve guide where pen is movable</t>
  </si>
  <si>
    <t>What can be improved with search</t>
  </si>
  <si>
    <t>Smaller sequence diagrams</t>
  </si>
  <si>
    <t>Chosen technologies document</t>
  </si>
  <si>
    <t>What can be improved with ROS</t>
  </si>
  <si>
    <t>Description of how the project runs</t>
  </si>
  <si>
    <t>Export all trello sprints and add to documents</t>
  </si>
  <si>
    <t>Git workflow</t>
  </si>
  <si>
    <t>Simulator document</t>
  </si>
  <si>
    <t>Search pattern comparison document</t>
  </si>
  <si>
    <t>Document ROS messages</t>
  </si>
  <si>
    <t>Get spiral search working</t>
  </si>
  <si>
    <t>Write quadrant search</t>
  </si>
  <si>
    <t>Project scope</t>
  </si>
  <si>
    <t>Document work done on Tello drone</t>
  </si>
  <si>
    <t>Estimate</t>
  </si>
  <si>
    <t>1</t>
  </si>
  <si>
    <t>2</t>
  </si>
  <si>
    <t>3</t>
  </si>
  <si>
    <t>5</t>
  </si>
  <si>
    <t>Test and record real drone flying and identifying QR code</t>
  </si>
  <si>
    <t>F</t>
  </si>
  <si>
    <t>F, M</t>
  </si>
  <si>
    <t>M</t>
  </si>
  <si>
    <t>N</t>
  </si>
  <si>
    <t>M, N</t>
  </si>
  <si>
    <t>F, M, N</t>
  </si>
  <si>
    <t>F, N</t>
  </si>
  <si>
    <t>YeS</t>
  </si>
  <si>
    <t>Name</t>
  </si>
  <si>
    <t>Marielle</t>
  </si>
  <si>
    <t>Nicholas</t>
  </si>
  <si>
    <t>Recorded</t>
  </si>
  <si>
    <t>Estimated Time vs Recorded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</si>
</sst>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164" fontId="0" fillId="0" borderId="0" xfId="0" applyNumberFormat="1" applyAlignment="1">
      <alignment horizontal="left" vertical="top" wrapText="1"/>
    </xf>
    <xf numFmtId="164" fontId="0" fillId="0" borderId="0" xfId="0" applyNumberFormat="1" applyAlignment="1">
      <alignment horizontal="left" vertical="top"/>
    </xf>
    <xf numFmtId="0" fontId="1" fillId="2" borderId="2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20" fontId="2" fillId="0" borderId="0" xfId="0" applyNumberFormat="1" applyFont="1" applyAlignment="1">
      <alignment horizontal="left" vertical="top" wrapText="1"/>
    </xf>
    <xf numFmtId="14" fontId="2" fillId="0" borderId="0" xfId="0" applyNumberFormat="1" applyFont="1" applyAlignment="1">
      <alignment horizontal="left" vertical="top" wrapText="1"/>
    </xf>
    <xf numFmtId="0" fontId="1" fillId="0" borderId="0" xfId="0" applyFon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0" borderId="0" xfId="0" applyFont="1" applyAlignment="1">
      <alignment vertical="top" wrapText="1"/>
    </xf>
    <xf numFmtId="0" fontId="0" fillId="3" borderId="0" xfId="0" applyFill="1" applyAlignment="1">
      <alignment horizontal="left" vertical="top"/>
    </xf>
    <xf numFmtId="0" fontId="1" fillId="3" borderId="0" xfId="0" applyFont="1" applyFill="1" applyAlignment="1">
      <alignment horizontal="left"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64" fontId="0" fillId="0" borderId="0" xfId="0" applyNumberFormat="1" applyAlignment="1">
      <alignment horizontal="center" vertical="top" wrapText="1"/>
    </xf>
    <xf numFmtId="164" fontId="0" fillId="0" borderId="0" xfId="0" applyNumberForma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164" fontId="1" fillId="2" borderId="1" xfId="0" applyNumberFormat="1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/>
    </xf>
    <xf numFmtId="0" fontId="0" fillId="4" borderId="0" xfId="0" applyFill="1" applyAlignment="1">
      <alignment horizontal="left" vertical="top" wrapText="1"/>
    </xf>
    <xf numFmtId="164" fontId="0" fillId="4" borderId="0" xfId="0" applyNumberFormat="1" applyFill="1" applyAlignment="1">
      <alignment horizontal="left" vertical="top" wrapText="1"/>
    </xf>
    <xf numFmtId="0" fontId="0" fillId="4" borderId="0" xfId="0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0" fontId="0" fillId="4" borderId="0" xfId="0" applyFill="1" applyAlignment="1">
      <alignment horizontal="center" vertical="top" wrapText="1"/>
    </xf>
    <xf numFmtId="0" fontId="5" fillId="4" borderId="0" xfId="0" applyFont="1" applyFill="1" applyAlignment="1">
      <alignment horizontal="left" vertical="top" wrapText="1"/>
    </xf>
    <xf numFmtId="164" fontId="0" fillId="4" borderId="0" xfId="0" applyNumberFormat="1" applyFill="1" applyAlignment="1">
      <alignment horizontal="left" vertical="top"/>
    </xf>
    <xf numFmtId="0" fontId="0" fillId="4" borderId="0" xfId="0" applyFill="1" applyAlignment="1">
      <alignment horizontal="center" vertical="top"/>
    </xf>
  </cellXfs>
  <cellStyles count="1">
    <cellStyle name="Normal" xfId="0" builtinId="0"/>
  </cellStyles>
  <dxfs count="12"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164" formatCode="yyyy\-mm\-dd;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164" formatCode="yyyy\-mm\-dd;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numFmt numFmtId="164" formatCode="yyyy\-mm\-dd;@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050D3"/>
      <color rgb="FF5A27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Drone Shepherd Gantt Chart for</a:t>
            </a:r>
            <a:r>
              <a:rPr lang="en-GB" b="1" baseline="0"/>
              <a:t> Sprints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220772992005306"/>
          <c:y val="0.10494294885626645"/>
          <c:w val="0.8161431831024426"/>
          <c:h val="0.8813615218762306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'Drone Shepherd'!$D$2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'Drone Shepherd'!$C$3:$C$133</c:f>
              <c:strCache>
                <c:ptCount val="131"/>
                <c:pt idx="0">
                  <c:v>Message passing diagram</c:v>
                </c:pt>
                <c:pt idx="1">
                  <c:v>Create merge requests for all existing documents and review</c:v>
                </c:pt>
                <c:pt idx="2">
                  <c:v>Breakdown of three pillars of project</c:v>
                </c:pt>
                <c:pt idx="3">
                  <c:v>Create QR reader using OpenCV for ideal circumstance</c:v>
                </c:pt>
                <c:pt idx="4">
                  <c:v>System diagram</c:v>
                </c:pt>
                <c:pt idx="5">
                  <c:v>Read research papers about drone location analysis, propose solutions</c:v>
                </c:pt>
                <c:pt idx="6">
                  <c:v>ROS documentation</c:v>
                </c:pt>
                <c:pt idx="7">
                  <c:v>Create use cases for location problem</c:v>
                </c:pt>
                <c:pt idx="8">
                  <c:v>Decide times for pair programming/team work</c:v>
                </c:pt>
                <c:pt idx="9">
                  <c:v>Make restrospective document</c:v>
                </c:pt>
                <c:pt idx="10">
                  <c:v>Create document template</c:v>
                </c:pt>
                <c:pt idx="11">
                  <c:v>Get started with OpenCV</c:v>
                </c:pt>
                <c:pt idx="12">
                  <c:v>Drone simulator take off and land</c:v>
                </c:pt>
                <c:pt idx="13">
                  <c:v>Get drone keyboard control working</c:v>
                </c:pt>
                <c:pt idx="15">
                  <c:v>Article/Research paper summaries</c:v>
                </c:pt>
                <c:pt idx="16">
                  <c:v>Come up with potential solutions to location problem - Maz</c:v>
                </c:pt>
                <c:pt idx="17">
                  <c:v>Come up with potential solutions to location problem - Finlay</c:v>
                </c:pt>
                <c:pt idx="18">
                  <c:v>Come up with potential solutions to location problem - Nick</c:v>
                </c:pt>
                <c:pt idx="19">
                  <c:v>Add QR code tile in simulator</c:v>
                </c:pt>
                <c:pt idx="20">
                  <c:v>Demo work completed</c:v>
                </c:pt>
                <c:pt idx="21">
                  <c:v>Get whiteboard and write on it</c:v>
                </c:pt>
                <c:pt idx="22">
                  <c:v>Join OpenCV and ROS</c:v>
                </c:pt>
                <c:pt idx="23">
                  <c:v>ROS drone subscribers</c:v>
                </c:pt>
                <c:pt idx="24">
                  <c:v>Understand how to process image from drone front camera</c:v>
                </c:pt>
                <c:pt idx="25">
                  <c:v>Roomba watching</c:v>
                </c:pt>
                <c:pt idx="27">
                  <c:v>Implement skeleton of location module</c:v>
                </c:pt>
                <c:pt idx="28">
                  <c:v>Implement skeleton of image analysis module</c:v>
                </c:pt>
                <c:pt idx="29">
                  <c:v>Write up Roomba watching results</c:v>
                </c:pt>
                <c:pt idx="30">
                  <c:v>Hover above and follow roomba</c:v>
                </c:pt>
                <c:pt idx="31">
                  <c:v>Improve QR reader code</c:v>
                </c:pt>
                <c:pt idx="32">
                  <c:v>Switch to alternative patterns instead of QR codes</c:v>
                </c:pt>
                <c:pt idx="33">
                  <c:v>Define arena</c:v>
                </c:pt>
                <c:pt idx="34">
                  <c:v>Identify QR code from drone feed</c:v>
                </c:pt>
                <c:pt idx="35">
                  <c:v>Email iRobot about roomba behaviour</c:v>
                </c:pt>
                <c:pt idx="36">
                  <c:v>Recognise location of Roomba</c:v>
                </c:pt>
                <c:pt idx="37">
                  <c:v>Design API of image analysis</c:v>
                </c:pt>
                <c:pt idx="38">
                  <c:v>Look up how to interrupt Roomba with lighthouse/alternative method</c:v>
                </c:pt>
                <c:pt idx="40">
                  <c:v>Implement search algorithm for static Roomba</c:v>
                </c:pt>
                <c:pt idx="41">
                  <c:v>Set up simulator with Pen, Arena, static Roomba</c:v>
                </c:pt>
                <c:pt idx="42">
                  <c:v>Test and record real drone flying and identifying QR code</c:v>
                </c:pt>
                <c:pt idx="43">
                  <c:v>Update location problem documents to reflect simplification</c:v>
                </c:pt>
                <c:pt idx="44">
                  <c:v>Clean up ROS code</c:v>
                </c:pt>
                <c:pt idx="45">
                  <c:v>Sort out Git directories</c:v>
                </c:pt>
                <c:pt idx="46">
                  <c:v>Roomba commands wishlist</c:v>
                </c:pt>
                <c:pt idx="47">
                  <c:v>Add custom turtlebot to simulator</c:v>
                </c:pt>
                <c:pt idx="49">
                  <c:v>Create service for tracking x and y movement</c:v>
                </c:pt>
                <c:pt idx="50">
                  <c:v>Set up virtual machine with ROS and simulator</c:v>
                </c:pt>
                <c:pt idx="51">
                  <c:v>Write movement for Roomba in simulator</c:v>
                </c:pt>
                <c:pt idx="52">
                  <c:v>Image analysis noise reduction</c:v>
                </c:pt>
                <c:pt idx="53">
                  <c:v>Look into search and rescue algorithms</c:v>
                </c:pt>
                <c:pt idx="54">
                  <c:v>Combine search and hover</c:v>
                </c:pt>
                <c:pt idx="55">
                  <c:v>Add error correction to hover code</c:v>
                </c:pt>
                <c:pt idx="56">
                  <c:v>Test drone at 2m</c:v>
                </c:pt>
                <c:pt idx="57">
                  <c:v>Tello drone</c:v>
                </c:pt>
                <c:pt idx="58">
                  <c:v>Experiment with new roomba</c:v>
                </c:pt>
                <c:pt idx="59">
                  <c:v>Tests for image analysis code</c:v>
                </c:pt>
                <c:pt idx="61">
                  <c:v>Master node</c:v>
                </c:pt>
                <c:pt idx="62">
                  <c:v>Improve search algorithm (search and rescue)</c:v>
                </c:pt>
                <c:pt idx="63">
                  <c:v>Propose testing utility</c:v>
                </c:pt>
                <c:pt idx="64">
                  <c:v>Add arena to new simulator world</c:v>
                </c:pt>
                <c:pt idx="65">
                  <c:v>Arena boundaries image analysis</c:v>
                </c:pt>
                <c:pt idx="66">
                  <c:v>Look at process documents and amend</c:v>
                </c:pt>
                <c:pt idx="67">
                  <c:v>Write roomba movement api</c:v>
                </c:pt>
                <c:pt idx="68">
                  <c:v>Document explaining arena choice</c:v>
                </c:pt>
                <c:pt idx="69">
                  <c:v>Poster</c:v>
                </c:pt>
                <c:pt idx="71">
                  <c:v>Document decisions about focusing on simulator</c:v>
                </c:pt>
                <c:pt idx="72">
                  <c:v>Rotational drift</c:v>
                </c:pt>
                <c:pt idx="73">
                  <c:v>Add image analysis method to calculate distance</c:v>
                </c:pt>
                <c:pt idx="74">
                  <c:v>Improve search to include drift correction</c:v>
                </c:pt>
                <c:pt idx="75">
                  <c:v>Write return module</c:v>
                </c:pt>
                <c:pt idx="76">
                  <c:v>Ensure all small documents are added to Git</c:v>
                </c:pt>
                <c:pt idx="77">
                  <c:v>Add Roomba code to git</c:v>
                </c:pt>
                <c:pt idx="78">
                  <c:v>Get roomba orientation in simulator</c:v>
                </c:pt>
                <c:pt idx="79">
                  <c:v>Change boundary detection to not include centre</c:v>
                </c:pt>
                <c:pt idx="80">
                  <c:v>Research further methods to improve image analysis</c:v>
                </c:pt>
                <c:pt idx="82">
                  <c:v>Implement image analysis research results</c:v>
                </c:pt>
                <c:pt idx="83">
                  <c:v>Tests for search</c:v>
                </c:pt>
                <c:pt idx="84">
                  <c:v>Go through work done and ensure its documented</c:v>
                </c:pt>
                <c:pt idx="85">
                  <c:v>Write unit tests for navigation code</c:v>
                </c:pt>
                <c:pt idx="86">
                  <c:v>Land drone</c:v>
                </c:pt>
                <c:pt idx="87">
                  <c:v>Add error correction to improved code</c:v>
                </c:pt>
                <c:pt idx="88">
                  <c:v>Roomba service to stop random simulation movement</c:v>
                </c:pt>
                <c:pt idx="89">
                  <c:v>Video demonstrating project</c:v>
                </c:pt>
                <c:pt idx="90">
                  <c:v>Add text to poster</c:v>
                </c:pt>
                <c:pt idx="91">
                  <c:v>Finalise poster</c:v>
                </c:pt>
                <c:pt idx="92">
                  <c:v>Abstract</c:v>
                </c:pt>
                <c:pt idx="93">
                  <c:v>Meeting to understand project</c:v>
                </c:pt>
                <c:pt idx="95">
                  <c:v>Collate information</c:v>
                </c:pt>
                <c:pt idx="96">
                  <c:v>Current and future improvements document for image analysis</c:v>
                </c:pt>
                <c:pt idx="97">
                  <c:v>Document all changes made</c:v>
                </c:pt>
                <c:pt idx="98">
                  <c:v>Doxygen comments</c:v>
                </c:pt>
                <c:pt idx="99">
                  <c:v>Sequence diagrams</c:v>
                </c:pt>
                <c:pt idx="100">
                  <c:v>Corpus CSS and Contents page</c:v>
                </c:pt>
                <c:pt idx="101">
                  <c:v>Look at software engineering documents and see if we need any</c:v>
                </c:pt>
                <c:pt idx="103">
                  <c:v>Image analysis success rates</c:v>
                </c:pt>
                <c:pt idx="104">
                  <c:v>Search success rates</c:v>
                </c:pt>
                <c:pt idx="105">
                  <c:v>Changed project requirements</c:v>
                </c:pt>
                <c:pt idx="106">
                  <c:v>Make sure we have 100% demo</c:v>
                </c:pt>
                <c:pt idx="107">
                  <c:v>Make Git repo public</c:v>
                </c:pt>
                <c:pt idx="108">
                  <c:v>Group retrospective</c:v>
                </c:pt>
                <c:pt idx="109">
                  <c:v>Initial plan/design doc</c:v>
                </c:pt>
                <c:pt idx="110">
                  <c:v>Technical report</c:v>
                </c:pt>
                <c:pt idx="111">
                  <c:v>Improvements to be made for real life transition</c:v>
                </c:pt>
                <c:pt idx="112">
                  <c:v>Acknowledgements</c:v>
                </c:pt>
                <c:pt idx="113">
                  <c:v>Emails sent</c:v>
                </c:pt>
                <c:pt idx="114">
                  <c:v>Image analysis design decisions</c:v>
                </c:pt>
                <c:pt idx="115">
                  <c:v>Image analysis tests document</c:v>
                </c:pt>
                <c:pt idx="116">
                  <c:v>Improve guide where pen is movable</c:v>
                </c:pt>
                <c:pt idx="117">
                  <c:v>What can be improved with search</c:v>
                </c:pt>
                <c:pt idx="118">
                  <c:v>Smaller sequence diagrams</c:v>
                </c:pt>
                <c:pt idx="119">
                  <c:v>Chosen technologies document</c:v>
                </c:pt>
                <c:pt idx="120">
                  <c:v>What can be improved with ROS</c:v>
                </c:pt>
                <c:pt idx="121">
                  <c:v>Description of how the project runs</c:v>
                </c:pt>
                <c:pt idx="122">
                  <c:v>Export all trello sprints and add to documents</c:v>
                </c:pt>
                <c:pt idx="123">
                  <c:v>Git workflow</c:v>
                </c:pt>
                <c:pt idx="124">
                  <c:v>Simulator document</c:v>
                </c:pt>
                <c:pt idx="125">
                  <c:v>Search pattern comparison document</c:v>
                </c:pt>
                <c:pt idx="126">
                  <c:v>Document ROS messages</c:v>
                </c:pt>
                <c:pt idx="127">
                  <c:v>Project scope</c:v>
                </c:pt>
                <c:pt idx="128">
                  <c:v>Get spiral search working</c:v>
                </c:pt>
                <c:pt idx="129">
                  <c:v>Write quadrant search</c:v>
                </c:pt>
                <c:pt idx="130">
                  <c:v>Document work done on Tello drone</c:v>
                </c:pt>
              </c:strCache>
            </c:strRef>
          </c:cat>
          <c:val>
            <c:numRef>
              <c:f>'Drone Shepherd'!$D$3:$D$133</c:f>
              <c:numCache>
                <c:formatCode>yyyy\-mm\-dd;@</c:formatCode>
                <c:ptCount val="131"/>
                <c:pt idx="0">
                  <c:v>43375</c:v>
                </c:pt>
                <c:pt idx="1">
                  <c:v>43375</c:v>
                </c:pt>
                <c:pt idx="2">
                  <c:v>43375</c:v>
                </c:pt>
                <c:pt idx="3">
                  <c:v>43375</c:v>
                </c:pt>
                <c:pt idx="4">
                  <c:v>43375</c:v>
                </c:pt>
                <c:pt idx="5">
                  <c:v>43375</c:v>
                </c:pt>
                <c:pt idx="6">
                  <c:v>43375</c:v>
                </c:pt>
                <c:pt idx="7">
                  <c:v>43375</c:v>
                </c:pt>
                <c:pt idx="8">
                  <c:v>43375</c:v>
                </c:pt>
                <c:pt idx="9">
                  <c:v>43375</c:v>
                </c:pt>
                <c:pt idx="10">
                  <c:v>43375</c:v>
                </c:pt>
                <c:pt idx="11">
                  <c:v>43375</c:v>
                </c:pt>
                <c:pt idx="12">
                  <c:v>43375</c:v>
                </c:pt>
                <c:pt idx="13">
                  <c:v>43375</c:v>
                </c:pt>
                <c:pt idx="15">
                  <c:v>43389</c:v>
                </c:pt>
                <c:pt idx="16">
                  <c:v>43389</c:v>
                </c:pt>
                <c:pt idx="17">
                  <c:v>43389</c:v>
                </c:pt>
                <c:pt idx="18">
                  <c:v>43389</c:v>
                </c:pt>
                <c:pt idx="19">
                  <c:v>43389</c:v>
                </c:pt>
                <c:pt idx="20">
                  <c:v>43389</c:v>
                </c:pt>
                <c:pt idx="21">
                  <c:v>43389</c:v>
                </c:pt>
                <c:pt idx="22">
                  <c:v>43389</c:v>
                </c:pt>
                <c:pt idx="23">
                  <c:v>43389</c:v>
                </c:pt>
                <c:pt idx="24">
                  <c:v>43389</c:v>
                </c:pt>
                <c:pt idx="25">
                  <c:v>43389</c:v>
                </c:pt>
                <c:pt idx="27">
                  <c:v>43404</c:v>
                </c:pt>
                <c:pt idx="28">
                  <c:v>43404</c:v>
                </c:pt>
                <c:pt idx="29">
                  <c:v>43404</c:v>
                </c:pt>
                <c:pt idx="30">
                  <c:v>43404</c:v>
                </c:pt>
                <c:pt idx="31">
                  <c:v>43404</c:v>
                </c:pt>
                <c:pt idx="32">
                  <c:v>43404</c:v>
                </c:pt>
                <c:pt idx="33">
                  <c:v>43404</c:v>
                </c:pt>
                <c:pt idx="34">
                  <c:v>43404</c:v>
                </c:pt>
                <c:pt idx="35">
                  <c:v>43404</c:v>
                </c:pt>
                <c:pt idx="36">
                  <c:v>43404</c:v>
                </c:pt>
                <c:pt idx="37">
                  <c:v>43404</c:v>
                </c:pt>
                <c:pt idx="38">
                  <c:v>43404</c:v>
                </c:pt>
                <c:pt idx="40">
                  <c:v>43421</c:v>
                </c:pt>
                <c:pt idx="41">
                  <c:v>43421</c:v>
                </c:pt>
                <c:pt idx="42">
                  <c:v>43421</c:v>
                </c:pt>
                <c:pt idx="43">
                  <c:v>43421</c:v>
                </c:pt>
                <c:pt idx="44">
                  <c:v>43421</c:v>
                </c:pt>
                <c:pt idx="45">
                  <c:v>43421</c:v>
                </c:pt>
                <c:pt idx="46">
                  <c:v>43421</c:v>
                </c:pt>
                <c:pt idx="47">
                  <c:v>43421</c:v>
                </c:pt>
                <c:pt idx="49">
                  <c:v>43439</c:v>
                </c:pt>
                <c:pt idx="50">
                  <c:v>43439</c:v>
                </c:pt>
                <c:pt idx="51">
                  <c:v>43439</c:v>
                </c:pt>
                <c:pt idx="52">
                  <c:v>43439</c:v>
                </c:pt>
                <c:pt idx="53">
                  <c:v>43439</c:v>
                </c:pt>
                <c:pt idx="54">
                  <c:v>43439</c:v>
                </c:pt>
                <c:pt idx="55">
                  <c:v>43439</c:v>
                </c:pt>
                <c:pt idx="56">
                  <c:v>43439</c:v>
                </c:pt>
                <c:pt idx="57">
                  <c:v>43439</c:v>
                </c:pt>
                <c:pt idx="58">
                  <c:v>43439</c:v>
                </c:pt>
                <c:pt idx="59">
                  <c:v>43439</c:v>
                </c:pt>
                <c:pt idx="61">
                  <c:v>43480</c:v>
                </c:pt>
                <c:pt idx="62">
                  <c:v>43480</c:v>
                </c:pt>
                <c:pt idx="63">
                  <c:v>43480</c:v>
                </c:pt>
                <c:pt idx="64">
                  <c:v>43480</c:v>
                </c:pt>
                <c:pt idx="65">
                  <c:v>43480</c:v>
                </c:pt>
                <c:pt idx="66">
                  <c:v>43480</c:v>
                </c:pt>
                <c:pt idx="67">
                  <c:v>43480</c:v>
                </c:pt>
                <c:pt idx="68">
                  <c:v>43480</c:v>
                </c:pt>
                <c:pt idx="69">
                  <c:v>43480</c:v>
                </c:pt>
                <c:pt idx="71">
                  <c:v>43494</c:v>
                </c:pt>
                <c:pt idx="72">
                  <c:v>43494</c:v>
                </c:pt>
                <c:pt idx="73">
                  <c:v>43494</c:v>
                </c:pt>
                <c:pt idx="74">
                  <c:v>43494</c:v>
                </c:pt>
                <c:pt idx="75">
                  <c:v>43494</c:v>
                </c:pt>
                <c:pt idx="76">
                  <c:v>43494</c:v>
                </c:pt>
                <c:pt idx="77">
                  <c:v>43494</c:v>
                </c:pt>
                <c:pt idx="78">
                  <c:v>43494</c:v>
                </c:pt>
                <c:pt idx="79">
                  <c:v>43494</c:v>
                </c:pt>
                <c:pt idx="80">
                  <c:v>43494</c:v>
                </c:pt>
                <c:pt idx="82">
                  <c:v>43508</c:v>
                </c:pt>
                <c:pt idx="83">
                  <c:v>43508</c:v>
                </c:pt>
                <c:pt idx="84">
                  <c:v>43508</c:v>
                </c:pt>
                <c:pt idx="85">
                  <c:v>43508</c:v>
                </c:pt>
                <c:pt idx="86">
                  <c:v>43508</c:v>
                </c:pt>
                <c:pt idx="87">
                  <c:v>43508</c:v>
                </c:pt>
                <c:pt idx="88">
                  <c:v>43508</c:v>
                </c:pt>
                <c:pt idx="89">
                  <c:v>43508</c:v>
                </c:pt>
                <c:pt idx="90">
                  <c:v>43508</c:v>
                </c:pt>
                <c:pt idx="91">
                  <c:v>43508</c:v>
                </c:pt>
                <c:pt idx="92">
                  <c:v>43508</c:v>
                </c:pt>
                <c:pt idx="93">
                  <c:v>43508</c:v>
                </c:pt>
                <c:pt idx="95">
                  <c:v>43522</c:v>
                </c:pt>
                <c:pt idx="96">
                  <c:v>43522</c:v>
                </c:pt>
                <c:pt idx="97">
                  <c:v>43522</c:v>
                </c:pt>
                <c:pt idx="98">
                  <c:v>43522</c:v>
                </c:pt>
                <c:pt idx="99">
                  <c:v>43522</c:v>
                </c:pt>
                <c:pt idx="100">
                  <c:v>43522</c:v>
                </c:pt>
                <c:pt idx="101">
                  <c:v>43522</c:v>
                </c:pt>
                <c:pt idx="103">
                  <c:v>43543</c:v>
                </c:pt>
                <c:pt idx="104">
                  <c:v>43543</c:v>
                </c:pt>
                <c:pt idx="105">
                  <c:v>43543</c:v>
                </c:pt>
                <c:pt idx="106">
                  <c:v>43543</c:v>
                </c:pt>
                <c:pt idx="107">
                  <c:v>43543</c:v>
                </c:pt>
                <c:pt idx="108">
                  <c:v>43543</c:v>
                </c:pt>
                <c:pt idx="109">
                  <c:v>43543</c:v>
                </c:pt>
                <c:pt idx="110">
                  <c:v>43543</c:v>
                </c:pt>
                <c:pt idx="111">
                  <c:v>43543</c:v>
                </c:pt>
                <c:pt idx="112">
                  <c:v>43543</c:v>
                </c:pt>
                <c:pt idx="113">
                  <c:v>43543</c:v>
                </c:pt>
                <c:pt idx="114">
                  <c:v>43543</c:v>
                </c:pt>
                <c:pt idx="115">
                  <c:v>43543</c:v>
                </c:pt>
                <c:pt idx="116">
                  <c:v>43543</c:v>
                </c:pt>
                <c:pt idx="117">
                  <c:v>43543</c:v>
                </c:pt>
                <c:pt idx="118">
                  <c:v>43543</c:v>
                </c:pt>
                <c:pt idx="119">
                  <c:v>43543</c:v>
                </c:pt>
                <c:pt idx="120">
                  <c:v>43543</c:v>
                </c:pt>
                <c:pt idx="121">
                  <c:v>43543</c:v>
                </c:pt>
                <c:pt idx="122">
                  <c:v>43543</c:v>
                </c:pt>
                <c:pt idx="123">
                  <c:v>43543</c:v>
                </c:pt>
                <c:pt idx="124">
                  <c:v>43543</c:v>
                </c:pt>
                <c:pt idx="125">
                  <c:v>43543</c:v>
                </c:pt>
                <c:pt idx="126">
                  <c:v>43543</c:v>
                </c:pt>
                <c:pt idx="127">
                  <c:v>43543</c:v>
                </c:pt>
                <c:pt idx="128">
                  <c:v>43543</c:v>
                </c:pt>
                <c:pt idx="129">
                  <c:v>43543</c:v>
                </c:pt>
                <c:pt idx="130">
                  <c:v>43543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1-4944-8C33-D82D04BF87F4}"/>
            </c:ext>
          </c:extLst>
        </c:ser>
        <c:ser>
          <c:idx val="1"/>
          <c:order val="1"/>
          <c:tx>
            <c:strRef>
              <c:f>'Drone Shepherd'!$G$2</c:f>
              <c:strCache>
                <c:ptCount val="1"/>
                <c:pt idx="0">
                  <c:v>Duration (days)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42FB-4454-B318-47397312D487}"/>
              </c:ext>
            </c:extLst>
          </c:dPt>
          <c:dPt>
            <c:idx val="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2FB-4454-B318-47397312D487}"/>
              </c:ext>
            </c:extLst>
          </c:dPt>
          <c:dPt>
            <c:idx val="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2FB-4454-B318-47397312D487}"/>
              </c:ext>
            </c:extLst>
          </c:dPt>
          <c:dPt>
            <c:idx val="3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F5B8-4C6D-BF92-4AEBB4C7B5BE}"/>
              </c:ext>
            </c:extLst>
          </c:dPt>
          <c:dPt>
            <c:idx val="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F5B8-4C6D-BF92-4AEBB4C7B5BE}"/>
              </c:ext>
            </c:extLst>
          </c:dPt>
          <c:dPt>
            <c:idx val="5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E-F5B8-4C6D-BF92-4AEBB4C7B5BE}"/>
              </c:ext>
            </c:extLst>
          </c:dPt>
          <c:dPt>
            <c:idx val="6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F-F5B8-4C6D-BF92-4AEBB4C7B5BE}"/>
              </c:ext>
            </c:extLst>
          </c:dPt>
          <c:dPt>
            <c:idx val="7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0-F5B8-4C6D-BF92-4AEBB4C7B5BE}"/>
              </c:ext>
            </c:extLst>
          </c:dPt>
          <c:dPt>
            <c:idx val="8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1-F5B8-4C6D-BF92-4AEBB4C7B5BE}"/>
              </c:ext>
            </c:extLst>
          </c:dPt>
          <c:dPt>
            <c:idx val="9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2-F5B8-4C6D-BF92-4AEBB4C7B5BE}"/>
              </c:ext>
            </c:extLst>
          </c:dPt>
          <c:dPt>
            <c:idx val="1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3-F5B8-4C6D-BF92-4AEBB4C7B5BE}"/>
              </c:ext>
            </c:extLst>
          </c:dPt>
          <c:dPt>
            <c:idx val="11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F5B8-4C6D-BF92-4AEBB4C7B5BE}"/>
              </c:ext>
            </c:extLst>
          </c:dPt>
          <c:dPt>
            <c:idx val="1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5-F5B8-4C6D-BF92-4AEBB4C7B5BE}"/>
              </c:ext>
            </c:extLst>
          </c:dPt>
          <c:dPt>
            <c:idx val="13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42FB-4454-B318-47397312D487}"/>
              </c:ext>
            </c:extLst>
          </c:dPt>
          <c:dPt>
            <c:idx val="1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2FB-4454-B318-47397312D487}"/>
              </c:ext>
            </c:extLst>
          </c:dPt>
          <c:dPt>
            <c:idx val="16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2FB-4454-B318-47397312D487}"/>
              </c:ext>
            </c:extLst>
          </c:dPt>
          <c:dPt>
            <c:idx val="17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2FB-4454-B318-47397312D487}"/>
              </c:ext>
            </c:extLst>
          </c:dPt>
          <c:dPt>
            <c:idx val="18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2FB-4454-B318-47397312D487}"/>
              </c:ext>
            </c:extLst>
          </c:dPt>
          <c:dPt>
            <c:idx val="19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2FB-4454-B318-47397312D487}"/>
              </c:ext>
            </c:extLst>
          </c:dPt>
          <c:dPt>
            <c:idx val="2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2FB-4454-B318-47397312D487}"/>
              </c:ext>
            </c:extLst>
          </c:dPt>
          <c:dPt>
            <c:idx val="21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2FB-4454-B318-47397312D487}"/>
              </c:ext>
            </c:extLst>
          </c:dPt>
          <c:dPt>
            <c:idx val="2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2FB-4454-B318-47397312D487}"/>
              </c:ext>
            </c:extLst>
          </c:dPt>
          <c:dPt>
            <c:idx val="23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42FB-4454-B318-47397312D487}"/>
              </c:ext>
            </c:extLst>
          </c:dPt>
          <c:dPt>
            <c:idx val="2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2FB-4454-B318-47397312D487}"/>
              </c:ext>
            </c:extLst>
          </c:dPt>
          <c:dPt>
            <c:idx val="2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42FB-4454-B318-47397312D487}"/>
              </c:ext>
            </c:extLst>
          </c:dPt>
          <c:dPt>
            <c:idx val="27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80CC-4A96-96A0-EEE6C71F31DA}"/>
              </c:ext>
            </c:extLst>
          </c:dPt>
          <c:dPt>
            <c:idx val="28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EC8B-4522-AD41-A64A586C3A70}"/>
              </c:ext>
            </c:extLst>
          </c:dPt>
          <c:dPt>
            <c:idx val="29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EC8B-4522-AD41-A64A586C3A70}"/>
              </c:ext>
            </c:extLst>
          </c:dPt>
          <c:dPt>
            <c:idx val="30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EC8B-4522-AD41-A64A586C3A70}"/>
              </c:ext>
            </c:extLst>
          </c:dPt>
          <c:dPt>
            <c:idx val="3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EC8B-4522-AD41-A64A586C3A70}"/>
              </c:ext>
            </c:extLst>
          </c:dPt>
          <c:dPt>
            <c:idx val="32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EC8B-4522-AD41-A64A586C3A70}"/>
              </c:ext>
            </c:extLst>
          </c:dPt>
          <c:dPt>
            <c:idx val="33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EC8B-4522-AD41-A64A586C3A70}"/>
              </c:ext>
            </c:extLst>
          </c:dPt>
          <c:dPt>
            <c:idx val="3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2CB2-493E-A699-5298BCDA3437}"/>
              </c:ext>
            </c:extLst>
          </c:dPt>
          <c:dPt>
            <c:idx val="3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5BC5-495A-A8F1-BB1119E8A390}"/>
              </c:ext>
            </c:extLst>
          </c:dPt>
          <c:dPt>
            <c:idx val="36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5BC5-495A-A8F1-BB1119E8A390}"/>
              </c:ext>
            </c:extLst>
          </c:dPt>
          <c:dPt>
            <c:idx val="37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1E97-4FCD-830A-1938CE38E255}"/>
              </c:ext>
            </c:extLst>
          </c:dPt>
          <c:dPt>
            <c:idx val="38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5BC5-495A-A8F1-BB1119E8A390}"/>
              </c:ext>
            </c:extLst>
          </c:dPt>
          <c:dPt>
            <c:idx val="40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5BC5-495A-A8F1-BB1119E8A390}"/>
              </c:ext>
            </c:extLst>
          </c:dPt>
          <c:dPt>
            <c:idx val="4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5BC5-495A-A8F1-BB1119E8A390}"/>
              </c:ext>
            </c:extLst>
          </c:dPt>
          <c:dPt>
            <c:idx val="4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80CC-4A96-96A0-EEE6C71F31DA}"/>
              </c:ext>
            </c:extLst>
          </c:dPt>
          <c:dPt>
            <c:idx val="43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509E-4C75-BBDF-E2425B15EA06}"/>
              </c:ext>
            </c:extLst>
          </c:dPt>
          <c:dPt>
            <c:idx val="4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4-509E-4C75-BBDF-E2425B15EA06}"/>
              </c:ext>
            </c:extLst>
          </c:dPt>
          <c:dPt>
            <c:idx val="4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1-509E-4C75-BBDF-E2425B15EA06}"/>
              </c:ext>
            </c:extLst>
          </c:dPt>
          <c:dPt>
            <c:idx val="46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509E-4C75-BBDF-E2425B15EA06}"/>
              </c:ext>
            </c:extLst>
          </c:dPt>
          <c:dPt>
            <c:idx val="47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509E-4C75-BBDF-E2425B15EA06}"/>
              </c:ext>
            </c:extLst>
          </c:dPt>
          <c:dPt>
            <c:idx val="49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6-509E-4C75-BBDF-E2425B15EA06}"/>
              </c:ext>
            </c:extLst>
          </c:dPt>
          <c:dPt>
            <c:idx val="50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509E-4C75-BBDF-E2425B15EA06}"/>
              </c:ext>
            </c:extLst>
          </c:dPt>
          <c:dPt>
            <c:idx val="5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8F4A-444B-B4D0-45C91875B0B8}"/>
              </c:ext>
            </c:extLst>
          </c:dPt>
          <c:dPt>
            <c:idx val="52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1E97-4FCD-830A-1938CE38E255}"/>
              </c:ext>
            </c:extLst>
          </c:dPt>
          <c:dPt>
            <c:idx val="53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4-D92F-46E1-AB64-8AAA9C6E2647}"/>
              </c:ext>
            </c:extLst>
          </c:dPt>
          <c:dPt>
            <c:idx val="54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80CC-4A96-96A0-EEE6C71F31DA}"/>
              </c:ext>
            </c:extLst>
          </c:dPt>
          <c:dPt>
            <c:idx val="5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6B82-41BB-94EC-D68D72F8E3DA}"/>
              </c:ext>
            </c:extLst>
          </c:dPt>
          <c:dPt>
            <c:idx val="56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6B82-41BB-94EC-D68D72F8E3DA}"/>
              </c:ext>
            </c:extLst>
          </c:dPt>
          <c:dPt>
            <c:idx val="57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8-6B82-41BB-94EC-D68D72F8E3DA}"/>
              </c:ext>
            </c:extLst>
          </c:dPt>
          <c:dPt>
            <c:idx val="58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6B82-41BB-94EC-D68D72F8E3DA}"/>
              </c:ext>
            </c:extLst>
          </c:dPt>
          <c:dPt>
            <c:idx val="59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6B82-41BB-94EC-D68D72F8E3DA}"/>
              </c:ext>
            </c:extLst>
          </c:dPt>
          <c:dPt>
            <c:idx val="6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6-F5B8-4C6D-BF92-4AEBB4C7B5BE}"/>
              </c:ext>
            </c:extLst>
          </c:dPt>
          <c:dPt>
            <c:idx val="62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7-F5B8-4C6D-BF92-4AEBB4C7B5BE}"/>
              </c:ext>
            </c:extLst>
          </c:dPt>
          <c:dPt>
            <c:idx val="63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8-F5B8-4C6D-BF92-4AEBB4C7B5BE}"/>
              </c:ext>
            </c:extLst>
          </c:dPt>
          <c:dPt>
            <c:idx val="6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9-F5B8-4C6D-BF92-4AEBB4C7B5BE}"/>
              </c:ext>
            </c:extLst>
          </c:dPt>
          <c:dPt>
            <c:idx val="6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A-F5B8-4C6D-BF92-4AEBB4C7B5BE}"/>
              </c:ext>
            </c:extLst>
          </c:dPt>
          <c:dPt>
            <c:idx val="66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B-F5B8-4C6D-BF92-4AEBB4C7B5BE}"/>
              </c:ext>
            </c:extLst>
          </c:dPt>
          <c:dPt>
            <c:idx val="67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C-F5B8-4C6D-BF92-4AEBB4C7B5BE}"/>
              </c:ext>
            </c:extLst>
          </c:dPt>
          <c:dPt>
            <c:idx val="68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D-F5B8-4C6D-BF92-4AEBB4C7B5BE}"/>
              </c:ext>
            </c:extLst>
          </c:dPt>
          <c:dPt>
            <c:idx val="69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E-F5B8-4C6D-BF92-4AEBB4C7B5BE}"/>
              </c:ext>
            </c:extLst>
          </c:dPt>
          <c:dPt>
            <c:idx val="7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6F-F5B8-4C6D-BF92-4AEBB4C7B5BE}"/>
              </c:ext>
            </c:extLst>
          </c:dPt>
          <c:dPt>
            <c:idx val="7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0-F5B8-4C6D-BF92-4AEBB4C7B5BE}"/>
              </c:ext>
            </c:extLst>
          </c:dPt>
          <c:dPt>
            <c:idx val="73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1-F5B8-4C6D-BF92-4AEBB4C7B5BE}"/>
              </c:ext>
            </c:extLst>
          </c:dPt>
          <c:dPt>
            <c:idx val="7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2-F5B8-4C6D-BF92-4AEBB4C7B5BE}"/>
              </c:ext>
            </c:extLst>
          </c:dPt>
          <c:dPt>
            <c:idx val="7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3-F5B8-4C6D-BF92-4AEBB4C7B5BE}"/>
              </c:ext>
            </c:extLst>
          </c:dPt>
          <c:dPt>
            <c:idx val="76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4-F5B8-4C6D-BF92-4AEBB4C7B5BE}"/>
              </c:ext>
            </c:extLst>
          </c:dPt>
          <c:dPt>
            <c:idx val="77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5-F5B8-4C6D-BF92-4AEBB4C7B5BE}"/>
              </c:ext>
            </c:extLst>
          </c:dPt>
          <c:dPt>
            <c:idx val="78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F5B8-4C6D-BF92-4AEBB4C7B5BE}"/>
              </c:ext>
            </c:extLst>
          </c:dPt>
          <c:dPt>
            <c:idx val="79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7-F5B8-4C6D-BF92-4AEBB4C7B5BE}"/>
              </c:ext>
            </c:extLst>
          </c:dPt>
          <c:dPt>
            <c:idx val="8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F5B8-4C6D-BF92-4AEBB4C7B5BE}"/>
              </c:ext>
            </c:extLst>
          </c:dPt>
          <c:dPt>
            <c:idx val="82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9-F5B8-4C6D-BF92-4AEBB4C7B5BE}"/>
              </c:ext>
            </c:extLst>
          </c:dPt>
          <c:dPt>
            <c:idx val="83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A-F5B8-4C6D-BF92-4AEBB4C7B5BE}"/>
              </c:ext>
            </c:extLst>
          </c:dPt>
          <c:dPt>
            <c:idx val="84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B-F5B8-4C6D-BF92-4AEBB4C7B5BE}"/>
              </c:ext>
            </c:extLst>
          </c:dPt>
          <c:dPt>
            <c:idx val="85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C-F5B8-4C6D-BF92-4AEBB4C7B5BE}"/>
              </c:ext>
            </c:extLst>
          </c:dPt>
          <c:dPt>
            <c:idx val="86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D-F5B8-4C6D-BF92-4AEBB4C7B5BE}"/>
              </c:ext>
            </c:extLst>
          </c:dPt>
          <c:dPt>
            <c:idx val="87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E-F5B8-4C6D-BF92-4AEBB4C7B5BE}"/>
              </c:ext>
            </c:extLst>
          </c:dPt>
          <c:dPt>
            <c:idx val="88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F-F5B8-4C6D-BF92-4AEBB4C7B5BE}"/>
              </c:ext>
            </c:extLst>
          </c:dPt>
          <c:dPt>
            <c:idx val="89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0-F5B8-4C6D-BF92-4AEBB4C7B5BE}"/>
              </c:ext>
            </c:extLst>
          </c:dPt>
          <c:dPt>
            <c:idx val="90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1-F5B8-4C6D-BF92-4AEBB4C7B5BE}"/>
              </c:ext>
            </c:extLst>
          </c:dPt>
          <c:dPt>
            <c:idx val="91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2-F5B8-4C6D-BF92-4AEBB4C7B5BE}"/>
              </c:ext>
            </c:extLst>
          </c:dPt>
          <c:dPt>
            <c:idx val="92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3-F5B8-4C6D-BF92-4AEBB4C7B5BE}"/>
              </c:ext>
            </c:extLst>
          </c:dPt>
          <c:dPt>
            <c:idx val="93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4-F5B8-4C6D-BF92-4AEBB4C7B5BE}"/>
              </c:ext>
            </c:extLst>
          </c:dPt>
          <c:dPt>
            <c:idx val="95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5-F5B8-4C6D-BF92-4AEBB4C7B5BE}"/>
              </c:ext>
            </c:extLst>
          </c:dPt>
          <c:dPt>
            <c:idx val="96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6-F5B8-4C6D-BF92-4AEBB4C7B5BE}"/>
              </c:ext>
            </c:extLst>
          </c:dPt>
          <c:dPt>
            <c:idx val="97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7-F5B8-4C6D-BF92-4AEBB4C7B5BE}"/>
              </c:ext>
            </c:extLst>
          </c:dPt>
          <c:dPt>
            <c:idx val="98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8-F5B8-4C6D-BF92-4AEBB4C7B5BE}"/>
              </c:ext>
            </c:extLst>
          </c:dPt>
          <c:dPt>
            <c:idx val="99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9-F5B8-4C6D-BF92-4AEBB4C7B5BE}"/>
              </c:ext>
            </c:extLst>
          </c:dPt>
          <c:dPt>
            <c:idx val="100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A-F5B8-4C6D-BF92-4AEBB4C7B5BE}"/>
              </c:ext>
            </c:extLst>
          </c:dPt>
          <c:dPt>
            <c:idx val="101"/>
            <c:invertIfNegative val="0"/>
            <c:bubble3D val="0"/>
            <c:spPr>
              <a:solidFill>
                <a:srgbClr val="1E3D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B-F5B8-4C6D-BF92-4AEBB4C7B5BE}"/>
              </c:ext>
            </c:extLst>
          </c:dPt>
          <c:dPt>
            <c:idx val="103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C-F5B8-4C6D-BF92-4AEBB4C7B5BE}"/>
              </c:ext>
            </c:extLst>
          </c:dPt>
          <c:dPt>
            <c:idx val="104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D-F5B8-4C6D-BF92-4AEBB4C7B5BE}"/>
              </c:ext>
            </c:extLst>
          </c:dPt>
          <c:dPt>
            <c:idx val="105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E-F5B8-4C6D-BF92-4AEBB4C7B5BE}"/>
              </c:ext>
            </c:extLst>
          </c:dPt>
          <c:dPt>
            <c:idx val="106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8F-F5B8-4C6D-BF92-4AEBB4C7B5BE}"/>
              </c:ext>
            </c:extLst>
          </c:dPt>
          <c:dPt>
            <c:idx val="107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0-F5B8-4C6D-BF92-4AEBB4C7B5BE}"/>
              </c:ext>
            </c:extLst>
          </c:dPt>
          <c:dPt>
            <c:idx val="108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1-F5B8-4C6D-BF92-4AEBB4C7B5BE}"/>
              </c:ext>
            </c:extLst>
          </c:dPt>
          <c:dPt>
            <c:idx val="109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2-F5B8-4C6D-BF92-4AEBB4C7B5BE}"/>
              </c:ext>
            </c:extLst>
          </c:dPt>
          <c:dPt>
            <c:idx val="11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3-F5B8-4C6D-BF92-4AEBB4C7B5BE}"/>
              </c:ext>
            </c:extLst>
          </c:dPt>
          <c:dPt>
            <c:idx val="111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4-F5B8-4C6D-BF92-4AEBB4C7B5BE}"/>
              </c:ext>
            </c:extLst>
          </c:dPt>
          <c:dPt>
            <c:idx val="11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5-F5B8-4C6D-BF92-4AEBB4C7B5BE}"/>
              </c:ext>
            </c:extLst>
          </c:dPt>
          <c:dPt>
            <c:idx val="113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6-F5B8-4C6D-BF92-4AEBB4C7B5BE}"/>
              </c:ext>
            </c:extLst>
          </c:dPt>
          <c:dPt>
            <c:idx val="11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7-F5B8-4C6D-BF92-4AEBB4C7B5BE}"/>
              </c:ext>
            </c:extLst>
          </c:dPt>
          <c:dPt>
            <c:idx val="11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8-F5B8-4C6D-BF92-4AEBB4C7B5BE}"/>
              </c:ext>
            </c:extLst>
          </c:dPt>
          <c:dPt>
            <c:idx val="116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9-F5B8-4C6D-BF92-4AEBB4C7B5BE}"/>
              </c:ext>
            </c:extLst>
          </c:dPt>
          <c:dPt>
            <c:idx val="117"/>
            <c:invertIfNegative val="0"/>
            <c:bubble3D val="0"/>
            <c:spPr>
              <a:solidFill>
                <a:srgbClr val="FF35D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A-F5B8-4C6D-BF92-4AEBB4C7B5BE}"/>
              </c:ext>
            </c:extLst>
          </c:dPt>
          <c:dPt>
            <c:idx val="118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B-F5B8-4C6D-BF92-4AEBB4C7B5BE}"/>
              </c:ext>
            </c:extLst>
          </c:dPt>
          <c:dPt>
            <c:idx val="119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C-F5B8-4C6D-BF92-4AEBB4C7B5BE}"/>
              </c:ext>
            </c:extLst>
          </c:dPt>
          <c:dPt>
            <c:idx val="12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D-F5B8-4C6D-BF92-4AEBB4C7B5BE}"/>
              </c:ext>
            </c:extLst>
          </c:dPt>
          <c:dPt>
            <c:idx val="121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E-F5B8-4C6D-BF92-4AEBB4C7B5BE}"/>
              </c:ext>
            </c:extLst>
          </c:dPt>
          <c:dPt>
            <c:idx val="122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9F-F5B8-4C6D-BF92-4AEBB4C7B5BE}"/>
              </c:ext>
            </c:extLst>
          </c:dPt>
          <c:dPt>
            <c:idx val="123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0-F5B8-4C6D-BF92-4AEBB4C7B5BE}"/>
              </c:ext>
            </c:extLst>
          </c:dPt>
          <c:dPt>
            <c:idx val="124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1-F5B8-4C6D-BF92-4AEBB4C7B5BE}"/>
              </c:ext>
            </c:extLst>
          </c:dPt>
          <c:dPt>
            <c:idx val="125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2-F5B8-4C6D-BF92-4AEBB4C7B5BE}"/>
              </c:ext>
            </c:extLst>
          </c:dPt>
          <c:dPt>
            <c:idx val="126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3-F5B8-4C6D-BF92-4AEBB4C7B5BE}"/>
              </c:ext>
            </c:extLst>
          </c:dPt>
          <c:dPt>
            <c:idx val="127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4-F5B8-4C6D-BF92-4AEBB4C7B5BE}"/>
              </c:ext>
            </c:extLst>
          </c:dPt>
          <c:dPt>
            <c:idx val="128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5-F5B8-4C6D-BF92-4AEBB4C7B5BE}"/>
              </c:ext>
            </c:extLst>
          </c:dPt>
          <c:dPt>
            <c:idx val="129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6-F5B8-4C6D-BF92-4AEBB4C7B5BE}"/>
              </c:ext>
            </c:extLst>
          </c:dPt>
          <c:dPt>
            <c:idx val="130"/>
            <c:invertIfNegative val="0"/>
            <c:bubble3D val="0"/>
            <c:spPr>
              <a:solidFill>
                <a:srgbClr val="73C91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A7-F5B8-4C6D-BF92-4AEBB4C7B5BE}"/>
              </c:ext>
            </c:extLst>
          </c:dPt>
          <c:cat>
            <c:strRef>
              <c:f>'Drone Shepherd'!$C$3:$C$133</c:f>
              <c:strCache>
                <c:ptCount val="131"/>
                <c:pt idx="0">
                  <c:v>Message passing diagram</c:v>
                </c:pt>
                <c:pt idx="1">
                  <c:v>Create merge requests for all existing documents and review</c:v>
                </c:pt>
                <c:pt idx="2">
                  <c:v>Breakdown of three pillars of project</c:v>
                </c:pt>
                <c:pt idx="3">
                  <c:v>Create QR reader using OpenCV for ideal circumstance</c:v>
                </c:pt>
                <c:pt idx="4">
                  <c:v>System diagram</c:v>
                </c:pt>
                <c:pt idx="5">
                  <c:v>Read research papers about drone location analysis, propose solutions</c:v>
                </c:pt>
                <c:pt idx="6">
                  <c:v>ROS documentation</c:v>
                </c:pt>
                <c:pt idx="7">
                  <c:v>Create use cases for location problem</c:v>
                </c:pt>
                <c:pt idx="8">
                  <c:v>Decide times for pair programming/team work</c:v>
                </c:pt>
                <c:pt idx="9">
                  <c:v>Make restrospective document</c:v>
                </c:pt>
                <c:pt idx="10">
                  <c:v>Create document template</c:v>
                </c:pt>
                <c:pt idx="11">
                  <c:v>Get started with OpenCV</c:v>
                </c:pt>
                <c:pt idx="12">
                  <c:v>Drone simulator take off and land</c:v>
                </c:pt>
                <c:pt idx="13">
                  <c:v>Get drone keyboard control working</c:v>
                </c:pt>
                <c:pt idx="15">
                  <c:v>Article/Research paper summaries</c:v>
                </c:pt>
                <c:pt idx="16">
                  <c:v>Come up with potential solutions to location problem - Maz</c:v>
                </c:pt>
                <c:pt idx="17">
                  <c:v>Come up with potential solutions to location problem - Finlay</c:v>
                </c:pt>
                <c:pt idx="18">
                  <c:v>Come up with potential solutions to location problem - Nick</c:v>
                </c:pt>
                <c:pt idx="19">
                  <c:v>Add QR code tile in simulator</c:v>
                </c:pt>
                <c:pt idx="20">
                  <c:v>Demo work completed</c:v>
                </c:pt>
                <c:pt idx="21">
                  <c:v>Get whiteboard and write on it</c:v>
                </c:pt>
                <c:pt idx="22">
                  <c:v>Join OpenCV and ROS</c:v>
                </c:pt>
                <c:pt idx="23">
                  <c:v>ROS drone subscribers</c:v>
                </c:pt>
                <c:pt idx="24">
                  <c:v>Understand how to process image from drone front camera</c:v>
                </c:pt>
                <c:pt idx="25">
                  <c:v>Roomba watching</c:v>
                </c:pt>
                <c:pt idx="27">
                  <c:v>Implement skeleton of location module</c:v>
                </c:pt>
                <c:pt idx="28">
                  <c:v>Implement skeleton of image analysis module</c:v>
                </c:pt>
                <c:pt idx="29">
                  <c:v>Write up Roomba watching results</c:v>
                </c:pt>
                <c:pt idx="30">
                  <c:v>Hover above and follow roomba</c:v>
                </c:pt>
                <c:pt idx="31">
                  <c:v>Improve QR reader code</c:v>
                </c:pt>
                <c:pt idx="32">
                  <c:v>Switch to alternative patterns instead of QR codes</c:v>
                </c:pt>
                <c:pt idx="33">
                  <c:v>Define arena</c:v>
                </c:pt>
                <c:pt idx="34">
                  <c:v>Identify QR code from drone feed</c:v>
                </c:pt>
                <c:pt idx="35">
                  <c:v>Email iRobot about roomba behaviour</c:v>
                </c:pt>
                <c:pt idx="36">
                  <c:v>Recognise location of Roomba</c:v>
                </c:pt>
                <c:pt idx="37">
                  <c:v>Design API of image analysis</c:v>
                </c:pt>
                <c:pt idx="38">
                  <c:v>Look up how to interrupt Roomba with lighthouse/alternative method</c:v>
                </c:pt>
                <c:pt idx="40">
                  <c:v>Implement search algorithm for static Roomba</c:v>
                </c:pt>
                <c:pt idx="41">
                  <c:v>Set up simulator with Pen, Arena, static Roomba</c:v>
                </c:pt>
                <c:pt idx="42">
                  <c:v>Test and record real drone flying and identifying QR code</c:v>
                </c:pt>
                <c:pt idx="43">
                  <c:v>Update location problem documents to reflect simplification</c:v>
                </c:pt>
                <c:pt idx="44">
                  <c:v>Clean up ROS code</c:v>
                </c:pt>
                <c:pt idx="45">
                  <c:v>Sort out Git directories</c:v>
                </c:pt>
                <c:pt idx="46">
                  <c:v>Roomba commands wishlist</c:v>
                </c:pt>
                <c:pt idx="47">
                  <c:v>Add custom turtlebot to simulator</c:v>
                </c:pt>
                <c:pt idx="49">
                  <c:v>Create service for tracking x and y movement</c:v>
                </c:pt>
                <c:pt idx="50">
                  <c:v>Set up virtual machine with ROS and simulator</c:v>
                </c:pt>
                <c:pt idx="51">
                  <c:v>Write movement for Roomba in simulator</c:v>
                </c:pt>
                <c:pt idx="52">
                  <c:v>Image analysis noise reduction</c:v>
                </c:pt>
                <c:pt idx="53">
                  <c:v>Look into search and rescue algorithms</c:v>
                </c:pt>
                <c:pt idx="54">
                  <c:v>Combine search and hover</c:v>
                </c:pt>
                <c:pt idx="55">
                  <c:v>Add error correction to hover code</c:v>
                </c:pt>
                <c:pt idx="56">
                  <c:v>Test drone at 2m</c:v>
                </c:pt>
                <c:pt idx="57">
                  <c:v>Tello drone</c:v>
                </c:pt>
                <c:pt idx="58">
                  <c:v>Experiment with new roomba</c:v>
                </c:pt>
                <c:pt idx="59">
                  <c:v>Tests for image analysis code</c:v>
                </c:pt>
                <c:pt idx="61">
                  <c:v>Master node</c:v>
                </c:pt>
                <c:pt idx="62">
                  <c:v>Improve search algorithm (search and rescue)</c:v>
                </c:pt>
                <c:pt idx="63">
                  <c:v>Propose testing utility</c:v>
                </c:pt>
                <c:pt idx="64">
                  <c:v>Add arena to new simulator world</c:v>
                </c:pt>
                <c:pt idx="65">
                  <c:v>Arena boundaries image analysis</c:v>
                </c:pt>
                <c:pt idx="66">
                  <c:v>Look at process documents and amend</c:v>
                </c:pt>
                <c:pt idx="67">
                  <c:v>Write roomba movement api</c:v>
                </c:pt>
                <c:pt idx="68">
                  <c:v>Document explaining arena choice</c:v>
                </c:pt>
                <c:pt idx="69">
                  <c:v>Poster</c:v>
                </c:pt>
                <c:pt idx="71">
                  <c:v>Document decisions about focusing on simulator</c:v>
                </c:pt>
                <c:pt idx="72">
                  <c:v>Rotational drift</c:v>
                </c:pt>
                <c:pt idx="73">
                  <c:v>Add image analysis method to calculate distance</c:v>
                </c:pt>
                <c:pt idx="74">
                  <c:v>Improve search to include drift correction</c:v>
                </c:pt>
                <c:pt idx="75">
                  <c:v>Write return module</c:v>
                </c:pt>
                <c:pt idx="76">
                  <c:v>Ensure all small documents are added to Git</c:v>
                </c:pt>
                <c:pt idx="77">
                  <c:v>Add Roomba code to git</c:v>
                </c:pt>
                <c:pt idx="78">
                  <c:v>Get roomba orientation in simulator</c:v>
                </c:pt>
                <c:pt idx="79">
                  <c:v>Change boundary detection to not include centre</c:v>
                </c:pt>
                <c:pt idx="80">
                  <c:v>Research further methods to improve image analysis</c:v>
                </c:pt>
                <c:pt idx="82">
                  <c:v>Implement image analysis research results</c:v>
                </c:pt>
                <c:pt idx="83">
                  <c:v>Tests for search</c:v>
                </c:pt>
                <c:pt idx="84">
                  <c:v>Go through work done and ensure its documented</c:v>
                </c:pt>
                <c:pt idx="85">
                  <c:v>Write unit tests for navigation code</c:v>
                </c:pt>
                <c:pt idx="86">
                  <c:v>Land drone</c:v>
                </c:pt>
                <c:pt idx="87">
                  <c:v>Add error correction to improved code</c:v>
                </c:pt>
                <c:pt idx="88">
                  <c:v>Roomba service to stop random simulation movement</c:v>
                </c:pt>
                <c:pt idx="89">
                  <c:v>Video demonstrating project</c:v>
                </c:pt>
                <c:pt idx="90">
                  <c:v>Add text to poster</c:v>
                </c:pt>
                <c:pt idx="91">
                  <c:v>Finalise poster</c:v>
                </c:pt>
                <c:pt idx="92">
                  <c:v>Abstract</c:v>
                </c:pt>
                <c:pt idx="93">
                  <c:v>Meeting to understand project</c:v>
                </c:pt>
                <c:pt idx="95">
                  <c:v>Collate information</c:v>
                </c:pt>
                <c:pt idx="96">
                  <c:v>Current and future improvements document for image analysis</c:v>
                </c:pt>
                <c:pt idx="97">
                  <c:v>Document all changes made</c:v>
                </c:pt>
                <c:pt idx="98">
                  <c:v>Doxygen comments</c:v>
                </c:pt>
                <c:pt idx="99">
                  <c:v>Sequence diagrams</c:v>
                </c:pt>
                <c:pt idx="100">
                  <c:v>Corpus CSS and Contents page</c:v>
                </c:pt>
                <c:pt idx="101">
                  <c:v>Look at software engineering documents and see if we need any</c:v>
                </c:pt>
                <c:pt idx="103">
                  <c:v>Image analysis success rates</c:v>
                </c:pt>
                <c:pt idx="104">
                  <c:v>Search success rates</c:v>
                </c:pt>
                <c:pt idx="105">
                  <c:v>Changed project requirements</c:v>
                </c:pt>
                <c:pt idx="106">
                  <c:v>Make sure we have 100% demo</c:v>
                </c:pt>
                <c:pt idx="107">
                  <c:v>Make Git repo public</c:v>
                </c:pt>
                <c:pt idx="108">
                  <c:v>Group retrospective</c:v>
                </c:pt>
                <c:pt idx="109">
                  <c:v>Initial plan/design doc</c:v>
                </c:pt>
                <c:pt idx="110">
                  <c:v>Technical report</c:v>
                </c:pt>
                <c:pt idx="111">
                  <c:v>Improvements to be made for real life transition</c:v>
                </c:pt>
                <c:pt idx="112">
                  <c:v>Acknowledgements</c:v>
                </c:pt>
                <c:pt idx="113">
                  <c:v>Emails sent</c:v>
                </c:pt>
                <c:pt idx="114">
                  <c:v>Image analysis design decisions</c:v>
                </c:pt>
                <c:pt idx="115">
                  <c:v>Image analysis tests document</c:v>
                </c:pt>
                <c:pt idx="116">
                  <c:v>Improve guide where pen is movable</c:v>
                </c:pt>
                <c:pt idx="117">
                  <c:v>What can be improved with search</c:v>
                </c:pt>
                <c:pt idx="118">
                  <c:v>Smaller sequence diagrams</c:v>
                </c:pt>
                <c:pt idx="119">
                  <c:v>Chosen technologies document</c:v>
                </c:pt>
                <c:pt idx="120">
                  <c:v>What can be improved with ROS</c:v>
                </c:pt>
                <c:pt idx="121">
                  <c:v>Description of how the project runs</c:v>
                </c:pt>
                <c:pt idx="122">
                  <c:v>Export all trello sprints and add to documents</c:v>
                </c:pt>
                <c:pt idx="123">
                  <c:v>Git workflow</c:v>
                </c:pt>
                <c:pt idx="124">
                  <c:v>Simulator document</c:v>
                </c:pt>
                <c:pt idx="125">
                  <c:v>Search pattern comparison document</c:v>
                </c:pt>
                <c:pt idx="126">
                  <c:v>Document ROS messages</c:v>
                </c:pt>
                <c:pt idx="127">
                  <c:v>Project scope</c:v>
                </c:pt>
                <c:pt idx="128">
                  <c:v>Get spiral search working</c:v>
                </c:pt>
                <c:pt idx="129">
                  <c:v>Write quadrant search</c:v>
                </c:pt>
                <c:pt idx="130">
                  <c:v>Document work done on Tello drone</c:v>
                </c:pt>
              </c:strCache>
            </c:strRef>
          </c:cat>
          <c:val>
            <c:numRef>
              <c:f>'Drone Shepherd'!$G$3:$G$133</c:f>
              <c:numCache>
                <c:formatCode>General</c:formatCode>
                <c:ptCount val="131"/>
                <c:pt idx="0">
                  <c:v>7</c:v>
                </c:pt>
                <c:pt idx="1">
                  <c:v>28</c:v>
                </c:pt>
                <c:pt idx="2">
                  <c:v>14</c:v>
                </c:pt>
                <c:pt idx="3">
                  <c:v>35</c:v>
                </c:pt>
                <c:pt idx="4">
                  <c:v>14</c:v>
                </c:pt>
                <c:pt idx="5">
                  <c:v>46</c:v>
                </c:pt>
                <c:pt idx="6">
                  <c:v>6</c:v>
                </c:pt>
                <c:pt idx="7">
                  <c:v>14</c:v>
                </c:pt>
                <c:pt idx="8">
                  <c:v>1</c:v>
                </c:pt>
                <c:pt idx="9">
                  <c:v>6</c:v>
                </c:pt>
                <c:pt idx="10">
                  <c:v>2</c:v>
                </c:pt>
                <c:pt idx="11">
                  <c:v>11</c:v>
                </c:pt>
                <c:pt idx="12">
                  <c:v>6</c:v>
                </c:pt>
                <c:pt idx="13">
                  <c:v>14</c:v>
                </c:pt>
                <c:pt idx="14">
                  <c:v>0</c:v>
                </c:pt>
                <c:pt idx="15">
                  <c:v>8</c:v>
                </c:pt>
                <c:pt idx="16">
                  <c:v>8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13</c:v>
                </c:pt>
                <c:pt idx="21">
                  <c:v>8</c:v>
                </c:pt>
                <c:pt idx="22">
                  <c:v>13</c:v>
                </c:pt>
                <c:pt idx="23">
                  <c:v>13</c:v>
                </c:pt>
                <c:pt idx="24">
                  <c:v>6</c:v>
                </c:pt>
                <c:pt idx="25">
                  <c:v>5</c:v>
                </c:pt>
                <c:pt idx="26">
                  <c:v>0</c:v>
                </c:pt>
                <c:pt idx="27">
                  <c:v>139</c:v>
                </c:pt>
                <c:pt idx="28">
                  <c:v>139</c:v>
                </c:pt>
                <c:pt idx="29">
                  <c:v>91</c:v>
                </c:pt>
                <c:pt idx="30">
                  <c:v>139</c:v>
                </c:pt>
                <c:pt idx="31">
                  <c:v>32</c:v>
                </c:pt>
                <c:pt idx="32">
                  <c:v>35</c:v>
                </c:pt>
                <c:pt idx="33">
                  <c:v>76</c:v>
                </c:pt>
                <c:pt idx="34">
                  <c:v>13</c:v>
                </c:pt>
                <c:pt idx="35">
                  <c:v>6</c:v>
                </c:pt>
                <c:pt idx="36">
                  <c:v>17</c:v>
                </c:pt>
                <c:pt idx="37">
                  <c:v>78</c:v>
                </c:pt>
                <c:pt idx="38">
                  <c:v>17</c:v>
                </c:pt>
                <c:pt idx="39">
                  <c:v>0</c:v>
                </c:pt>
                <c:pt idx="40">
                  <c:v>65</c:v>
                </c:pt>
                <c:pt idx="41">
                  <c:v>15</c:v>
                </c:pt>
                <c:pt idx="42">
                  <c:v>8</c:v>
                </c:pt>
                <c:pt idx="43">
                  <c:v>18</c:v>
                </c:pt>
                <c:pt idx="44">
                  <c:v>9</c:v>
                </c:pt>
                <c:pt idx="45">
                  <c:v>9</c:v>
                </c:pt>
                <c:pt idx="46">
                  <c:v>18</c:v>
                </c:pt>
                <c:pt idx="47">
                  <c:v>122</c:v>
                </c:pt>
                <c:pt idx="48">
                  <c:v>0</c:v>
                </c:pt>
                <c:pt idx="49">
                  <c:v>104</c:v>
                </c:pt>
                <c:pt idx="50">
                  <c:v>41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104</c:v>
                </c:pt>
                <c:pt idx="55">
                  <c:v>9</c:v>
                </c:pt>
                <c:pt idx="56">
                  <c:v>9</c:v>
                </c:pt>
                <c:pt idx="57">
                  <c:v>41</c:v>
                </c:pt>
                <c:pt idx="58">
                  <c:v>41</c:v>
                </c:pt>
                <c:pt idx="59">
                  <c:v>67</c:v>
                </c:pt>
                <c:pt idx="61">
                  <c:v>26</c:v>
                </c:pt>
                <c:pt idx="62">
                  <c:v>26</c:v>
                </c:pt>
                <c:pt idx="63">
                  <c:v>7</c:v>
                </c:pt>
                <c:pt idx="64">
                  <c:v>1</c:v>
                </c:pt>
                <c:pt idx="65">
                  <c:v>10</c:v>
                </c:pt>
                <c:pt idx="66">
                  <c:v>14</c:v>
                </c:pt>
                <c:pt idx="67">
                  <c:v>14</c:v>
                </c:pt>
                <c:pt idx="68">
                  <c:v>28</c:v>
                </c:pt>
                <c:pt idx="69">
                  <c:v>28</c:v>
                </c:pt>
                <c:pt idx="71">
                  <c:v>44</c:v>
                </c:pt>
                <c:pt idx="72">
                  <c:v>12</c:v>
                </c:pt>
                <c:pt idx="73">
                  <c:v>14</c:v>
                </c:pt>
                <c:pt idx="74">
                  <c:v>13</c:v>
                </c:pt>
                <c:pt idx="75">
                  <c:v>12</c:v>
                </c:pt>
                <c:pt idx="76">
                  <c:v>49</c:v>
                </c:pt>
                <c:pt idx="77">
                  <c:v>1</c:v>
                </c:pt>
                <c:pt idx="78">
                  <c:v>12</c:v>
                </c:pt>
                <c:pt idx="79">
                  <c:v>12</c:v>
                </c:pt>
                <c:pt idx="80">
                  <c:v>14</c:v>
                </c:pt>
                <c:pt idx="82">
                  <c:v>35</c:v>
                </c:pt>
                <c:pt idx="83">
                  <c:v>35</c:v>
                </c:pt>
                <c:pt idx="84">
                  <c:v>35</c:v>
                </c:pt>
                <c:pt idx="85">
                  <c:v>35</c:v>
                </c:pt>
                <c:pt idx="86">
                  <c:v>35</c:v>
                </c:pt>
                <c:pt idx="87">
                  <c:v>3</c:v>
                </c:pt>
                <c:pt idx="88">
                  <c:v>13</c:v>
                </c:pt>
                <c:pt idx="89">
                  <c:v>34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34</c:v>
                </c:pt>
                <c:pt idx="95">
                  <c:v>31</c:v>
                </c:pt>
                <c:pt idx="96">
                  <c:v>29</c:v>
                </c:pt>
                <c:pt idx="97">
                  <c:v>31</c:v>
                </c:pt>
                <c:pt idx="98">
                  <c:v>20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</c:v>
                </c:pt>
                <c:pt idx="120">
                  <c:v>6</c:v>
                </c:pt>
                <c:pt idx="121">
                  <c:v>5</c:v>
                </c:pt>
                <c:pt idx="122">
                  <c:v>1</c:v>
                </c:pt>
                <c:pt idx="123">
                  <c:v>4</c:v>
                </c:pt>
                <c:pt idx="124">
                  <c:v>5</c:v>
                </c:pt>
                <c:pt idx="125">
                  <c:v>3</c:v>
                </c:pt>
                <c:pt idx="126">
                  <c:v>3</c:v>
                </c:pt>
                <c:pt idx="127">
                  <c:v>1</c:v>
                </c:pt>
                <c:pt idx="128">
                  <c:v>3</c:v>
                </c:pt>
                <c:pt idx="129">
                  <c:v>2</c:v>
                </c:pt>
                <c:pt idx="1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1-4944-8C33-D82D04BF8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5047304"/>
        <c:axId val="505046648"/>
      </c:barChart>
      <c:catAx>
        <c:axId val="5050473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46648"/>
        <c:crosses val="autoZero"/>
        <c:auto val="1"/>
        <c:lblAlgn val="ctr"/>
        <c:lblOffset val="100"/>
        <c:noMultiLvlLbl val="0"/>
      </c:catAx>
      <c:valAx>
        <c:axId val="505046648"/>
        <c:scaling>
          <c:orientation val="minMax"/>
          <c:max val="43554"/>
          <c:min val="43375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yyyy\-mm\-dd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47304"/>
        <c:crosses val="autoZero"/>
        <c:crossBetween val="between"/>
        <c:majorUnit val="7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158750</xdr:colOff>
      <xdr:row>1</xdr:row>
      <xdr:rowOff>26459</xdr:rowOff>
    </xdr:from>
    <xdr:to>
      <xdr:col>43</xdr:col>
      <xdr:colOff>371708</xdr:colOff>
      <xdr:row>69</xdr:row>
      <xdr:rowOff>167571</xdr:rowOff>
    </xdr:to>
    <xdr:graphicFrame macro="">
      <xdr:nvGraphicFramePr>
        <xdr:cNvPr id="5" name="Gantt Cha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158750</xdr:colOff>
          <xdr:row>2</xdr:row>
          <xdr:rowOff>25400</xdr:rowOff>
        </xdr:from>
        <xdr:to>
          <xdr:col>42</xdr:col>
          <xdr:colOff>444500</xdr:colOff>
          <xdr:row>4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Colour Gantt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142102</xdr:colOff>
      <xdr:row>1</xdr:row>
      <xdr:rowOff>26459</xdr:rowOff>
    </xdr:from>
    <xdr:to>
      <xdr:col>37</xdr:col>
      <xdr:colOff>611136</xdr:colOff>
      <xdr:row>6</xdr:row>
      <xdr:rowOff>48355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2573565" y="212313"/>
          <a:ext cx="1739034" cy="10131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solidFill>
                <a:schemeClr val="tx1"/>
              </a:solidFill>
            </a:rPr>
            <a:t>Not Extended</a:t>
          </a:r>
        </a:p>
        <a:p>
          <a:r>
            <a:rPr lang="en-GB" sz="1100" b="1">
              <a:solidFill>
                <a:schemeClr val="accent2"/>
              </a:solidFill>
            </a:rPr>
            <a:t>Incomplete	</a:t>
          </a:r>
          <a:r>
            <a:rPr lang="en-GB" sz="1100" b="1">
              <a:solidFill>
                <a:schemeClr val="accent6"/>
              </a:solidFill>
            </a:rPr>
            <a:t>Complete</a:t>
          </a:r>
        </a:p>
        <a:p>
          <a:r>
            <a:rPr lang="en-GB" sz="1100" b="1">
              <a:solidFill>
                <a:schemeClr val="tx1"/>
              </a:solidFill>
            </a:rPr>
            <a:t>Extended</a:t>
          </a:r>
        </a:p>
        <a:p>
          <a:r>
            <a:rPr lang="en-GB" sz="1100" b="1">
              <a:solidFill>
                <a:srgbClr val="D050D3"/>
              </a:solidFill>
            </a:rPr>
            <a:t>Incomplete</a:t>
          </a:r>
          <a:r>
            <a:rPr lang="en-GB" sz="1100" b="1">
              <a:solidFill>
                <a:schemeClr val="accent2"/>
              </a:solidFill>
            </a:rPr>
            <a:t>	</a:t>
          </a:r>
          <a:r>
            <a:rPr lang="en-GB" sz="1100" b="1">
              <a:solidFill>
                <a:srgbClr val="002060"/>
              </a:solidFill>
            </a:rPr>
            <a:t>Complete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635000</xdr:colOff>
          <xdr:row>74</xdr:row>
          <xdr:rowOff>171450</xdr:rowOff>
        </xdr:from>
        <xdr:to>
          <xdr:col>19</xdr:col>
          <xdr:colOff>0</xdr:colOff>
          <xdr:row>77</xdr:row>
          <xdr:rowOff>184150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A5DA3-C046-4469-99D1-060C3A1B2318}" name="Table1" displayName="Table1" ref="B2:K133" totalsRowShown="0" headerRowDxfId="11" dataDxfId="10">
  <autoFilter ref="B2:K133" xr:uid="{48EF266B-FDC7-4DC0-9CFA-DB4D25D6D7B0}"/>
  <tableColumns count="10">
    <tableColumn id="1" xr3:uid="{11E7EDC5-49EF-49DF-A141-0D2EDC5F62DD}" name="Sprint" dataDxfId="9"/>
    <tableColumn id="2" xr3:uid="{D9F3EFAC-7E34-42EC-9F2C-DB3C09E94D56}" name="Subtask" dataDxfId="8"/>
    <tableColumn id="3" xr3:uid="{19697C45-FE4B-4570-8BC9-667D421138FA}" name="Start Date" dataDxfId="7"/>
    <tableColumn id="4" xr3:uid="{A474C3ED-228C-43CE-8A29-C0A5780C6499}" name="End Date" dataDxfId="6"/>
    <tableColumn id="5" xr3:uid="{EF70AF21-A642-42C8-93CA-05C7BC035A1D}" name="Extended?" dataDxfId="5">
      <calculatedColumnFormula>IF(E3-D3&gt;14,"Yes","No")</calculatedColumnFormula>
    </tableColumn>
    <tableColumn id="6" xr3:uid="{4D9301D5-D1CB-4DAA-8819-FB021C4B539B}" name="Duration (days)" dataDxfId="4">
      <calculatedColumnFormula>IF(DATEDIF(D3,(E3),"d")=0,"",DATEDIF(D3,(E3),"d"))</calculatedColumnFormula>
    </tableColumn>
    <tableColumn id="7" xr3:uid="{15332E36-98D8-4356-8FF2-07A62E985BCB}" name="Finished?" dataDxfId="3"/>
    <tableColumn id="8" xr3:uid="{A1A09F10-98FC-46AA-B4A3-34C7FDD533D9}" name="Assigned" dataDxfId="2"/>
    <tableColumn id="9" xr3:uid="{37F54A61-18CA-4FCF-992A-79C2B5CC940D}" name="Estimate" dataDxfId="1"/>
    <tableColumn id="10" xr3:uid="{F7E2E892-B1DF-4C4F-BE67-2C19EF686EC1}" name="Note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33"/>
  <sheetViews>
    <sheetView tabSelected="1" topLeftCell="D27" zoomScale="66" zoomScaleNormal="25" workbookViewId="0">
      <selection activeCell="T74" sqref="T74"/>
    </sheetView>
  </sheetViews>
  <sheetFormatPr defaultColWidth="9.1796875" defaultRowHeight="14.5" x14ac:dyDescent="0.35"/>
  <cols>
    <col min="1" max="1" width="4.36328125" style="2" customWidth="1"/>
    <col min="2" max="2" width="9.1796875" style="2"/>
    <col min="3" max="3" width="60" style="2" customWidth="1"/>
    <col min="4" max="4" width="19.54296875" style="4" customWidth="1"/>
    <col min="5" max="5" width="21" style="4" customWidth="1"/>
    <col min="6" max="7" width="18.1796875" style="2" customWidth="1"/>
    <col min="8" max="8" width="13.7265625" style="2" bestFit="1" customWidth="1"/>
    <col min="9" max="10" width="23.453125" style="2" customWidth="1"/>
    <col min="11" max="11" width="34.7265625" style="2" customWidth="1"/>
    <col min="12" max="13" width="9.1796875" style="2"/>
    <col min="14" max="14" width="3.7265625" style="13" customWidth="1"/>
    <col min="15" max="15" width="10.1796875" style="2" bestFit="1" customWidth="1"/>
    <col min="16" max="16" width="8.36328125" style="2" bestFit="1" customWidth="1"/>
    <col min="17" max="17" width="9" style="2" bestFit="1" customWidth="1"/>
    <col min="18" max="24" width="9.1796875" style="2"/>
    <col min="25" max="25" width="10" style="2" customWidth="1"/>
    <col min="26" max="26" width="10.453125" style="2" customWidth="1"/>
    <col min="27" max="16384" width="9.1796875" style="2"/>
  </cols>
  <sheetData>
    <row r="1" spans="1:26" x14ac:dyDescent="0.35">
      <c r="A1" s="1"/>
      <c r="B1" s="1"/>
      <c r="C1" s="1"/>
      <c r="D1" s="3"/>
      <c r="E1" s="3"/>
      <c r="F1" s="1"/>
      <c r="G1" s="1"/>
    </row>
    <row r="2" spans="1:26" x14ac:dyDescent="0.35">
      <c r="A2" s="19"/>
      <c r="B2" s="21" t="s">
        <v>10</v>
      </c>
      <c r="C2" s="21" t="s">
        <v>3</v>
      </c>
      <c r="D2" s="22" t="s">
        <v>0</v>
      </c>
      <c r="E2" s="22" t="s">
        <v>1</v>
      </c>
      <c r="F2" s="5" t="s">
        <v>5</v>
      </c>
      <c r="G2" s="5" t="s">
        <v>4</v>
      </c>
      <c r="H2" s="23" t="s">
        <v>2</v>
      </c>
      <c r="I2" s="23" t="s">
        <v>7</v>
      </c>
      <c r="J2" s="23" t="s">
        <v>133</v>
      </c>
      <c r="K2" s="23" t="s">
        <v>9</v>
      </c>
      <c r="L2" s="10"/>
      <c r="M2" s="10"/>
      <c r="N2" s="14"/>
      <c r="O2" s="10"/>
      <c r="P2" s="10"/>
      <c r="Q2" s="10"/>
      <c r="R2" s="10"/>
    </row>
    <row r="3" spans="1:26" ht="15.5" x14ac:dyDescent="0.35">
      <c r="A3" s="18"/>
      <c r="B3" s="1">
        <v>1</v>
      </c>
      <c r="C3" s="1" t="s">
        <v>11</v>
      </c>
      <c r="D3" s="3">
        <v>43375</v>
      </c>
      <c r="E3" s="3">
        <v>43382</v>
      </c>
      <c r="F3" s="3" t="str">
        <f>IF(E3-D3&gt;14,"Yes","No")</f>
        <v>No</v>
      </c>
      <c r="G3" s="1">
        <f>IF(DATEDIF(D3,(E3),"d")=0,"",DATEDIF(D3,(E3),"d"))</f>
        <v>7</v>
      </c>
      <c r="H3" s="2" t="s">
        <v>8</v>
      </c>
      <c r="I3" s="11" t="s">
        <v>139</v>
      </c>
      <c r="J3" s="11" t="s">
        <v>134</v>
      </c>
      <c r="O3" s="11"/>
      <c r="Y3" s="6"/>
      <c r="Z3" s="7"/>
    </row>
    <row r="4" spans="1:26" ht="15.5" x14ac:dyDescent="0.35">
      <c r="A4" s="18"/>
      <c r="B4" s="1"/>
      <c r="C4" s="1" t="s">
        <v>12</v>
      </c>
      <c r="D4" s="3">
        <v>43375</v>
      </c>
      <c r="E4" s="3">
        <v>43403</v>
      </c>
      <c r="F4" s="3" t="str">
        <f>IF(E4-D4&gt;14,"Yes","No")</f>
        <v>Yes</v>
      </c>
      <c r="G4" s="1">
        <f>IF(DATEDIF(D4,(E4),"d")=0,"",DATEDIF(D4,(E4),"d"))</f>
        <v>28</v>
      </c>
      <c r="H4" s="2" t="s">
        <v>8</v>
      </c>
      <c r="I4" s="11" t="s">
        <v>144</v>
      </c>
      <c r="J4" s="11" t="s">
        <v>135</v>
      </c>
      <c r="O4" s="11"/>
      <c r="Y4" s="6"/>
      <c r="Z4" s="8"/>
    </row>
    <row r="5" spans="1:26" ht="15.5" x14ac:dyDescent="0.35">
      <c r="A5" s="18"/>
      <c r="B5" s="1"/>
      <c r="C5" s="1" t="s">
        <v>13</v>
      </c>
      <c r="D5" s="3">
        <v>43375</v>
      </c>
      <c r="E5" s="3">
        <v>43389</v>
      </c>
      <c r="F5" s="3" t="str">
        <f t="shared" ref="F5:F68" si="0">IF(E5-D5&gt;14,"Yes","No")</f>
        <v>No</v>
      </c>
      <c r="G5" s="1">
        <f>IF(DATEDIF(D5,(E5),"d")=0,"",DATEDIF(D5,(E5),"d"))</f>
        <v>14</v>
      </c>
      <c r="H5" s="2" t="s">
        <v>8</v>
      </c>
      <c r="I5" s="11" t="s">
        <v>144</v>
      </c>
      <c r="J5" s="11" t="s">
        <v>136</v>
      </c>
      <c r="O5" s="11"/>
      <c r="Y5" s="6"/>
      <c r="Z5" s="8"/>
    </row>
    <row r="6" spans="1:26" ht="15.5" x14ac:dyDescent="0.35">
      <c r="A6" s="18"/>
      <c r="B6" s="1"/>
      <c r="C6" s="1" t="s">
        <v>14</v>
      </c>
      <c r="D6" s="3">
        <v>43375</v>
      </c>
      <c r="E6" s="3">
        <v>43410</v>
      </c>
      <c r="F6" s="3" t="str">
        <f t="shared" si="0"/>
        <v>Yes</v>
      </c>
      <c r="G6" s="1">
        <f t="shared" ref="G6:G16" si="1">IF(DATEDIF(D6,(E6),"d")=0,"",DATEDIF(D6,(E6),"d"))</f>
        <v>35</v>
      </c>
      <c r="H6" s="2" t="s">
        <v>8</v>
      </c>
      <c r="I6" s="11" t="s">
        <v>142</v>
      </c>
      <c r="J6" s="11" t="s">
        <v>136</v>
      </c>
      <c r="O6" s="11"/>
      <c r="Y6" s="6"/>
      <c r="Z6" s="8"/>
    </row>
    <row r="7" spans="1:26" ht="15.5" x14ac:dyDescent="0.35">
      <c r="A7" s="18"/>
      <c r="B7" s="1"/>
      <c r="C7" s="1" t="s">
        <v>15</v>
      </c>
      <c r="D7" s="3">
        <v>43375</v>
      </c>
      <c r="E7" s="3">
        <v>43389</v>
      </c>
      <c r="F7" s="3" t="str">
        <f t="shared" si="0"/>
        <v>No</v>
      </c>
      <c r="G7" s="1">
        <f t="shared" si="1"/>
        <v>14</v>
      </c>
      <c r="H7" s="2" t="s">
        <v>8</v>
      </c>
      <c r="I7" s="11" t="s">
        <v>142</v>
      </c>
      <c r="J7" s="11" t="s">
        <v>134</v>
      </c>
      <c r="O7" s="11"/>
      <c r="Y7" s="6"/>
      <c r="Z7" s="8"/>
    </row>
    <row r="8" spans="1:26" ht="16.5" customHeight="1" x14ac:dyDescent="0.35">
      <c r="A8" s="18"/>
      <c r="B8" s="1"/>
      <c r="C8" s="1" t="s">
        <v>16</v>
      </c>
      <c r="D8" s="3">
        <v>43375</v>
      </c>
      <c r="E8" s="3">
        <v>43421</v>
      </c>
      <c r="F8" s="3" t="str">
        <f t="shared" si="0"/>
        <v>Yes</v>
      </c>
      <c r="G8" s="1">
        <f t="shared" si="1"/>
        <v>46</v>
      </c>
      <c r="H8" s="2" t="s">
        <v>8</v>
      </c>
      <c r="I8" s="11" t="s">
        <v>144</v>
      </c>
      <c r="J8" s="11" t="s">
        <v>137</v>
      </c>
      <c r="O8" s="11"/>
      <c r="Y8" s="6"/>
      <c r="Z8" s="8"/>
    </row>
    <row r="9" spans="1:26" ht="15.5" x14ac:dyDescent="0.35">
      <c r="A9" s="18"/>
      <c r="B9" s="1"/>
      <c r="C9" s="1" t="s">
        <v>17</v>
      </c>
      <c r="D9" s="3">
        <v>43375</v>
      </c>
      <c r="E9" s="3">
        <v>43381</v>
      </c>
      <c r="F9" s="3" t="str">
        <f t="shared" si="0"/>
        <v>No</v>
      </c>
      <c r="G9" s="1">
        <f t="shared" si="1"/>
        <v>6</v>
      </c>
      <c r="H9" s="2" t="s">
        <v>8</v>
      </c>
      <c r="I9" s="11" t="s">
        <v>139</v>
      </c>
      <c r="J9" s="11" t="s">
        <v>134</v>
      </c>
      <c r="O9" s="11"/>
      <c r="Y9" s="6"/>
      <c r="Z9" s="8"/>
    </row>
    <row r="10" spans="1:26" ht="15.5" x14ac:dyDescent="0.35">
      <c r="A10" s="18"/>
      <c r="B10" s="1"/>
      <c r="C10" s="1" t="s">
        <v>18</v>
      </c>
      <c r="D10" s="3">
        <v>43375</v>
      </c>
      <c r="E10" s="3">
        <v>43389</v>
      </c>
      <c r="F10" s="3" t="str">
        <f t="shared" si="0"/>
        <v>No</v>
      </c>
      <c r="G10" s="1">
        <f t="shared" si="1"/>
        <v>14</v>
      </c>
      <c r="H10" s="2" t="s">
        <v>8</v>
      </c>
      <c r="I10" s="11" t="s">
        <v>141</v>
      </c>
      <c r="J10" s="11" t="s">
        <v>136</v>
      </c>
      <c r="O10" s="11"/>
      <c r="Y10" s="6"/>
      <c r="Z10" s="8"/>
    </row>
    <row r="11" spans="1:26" ht="15.5" x14ac:dyDescent="0.35">
      <c r="A11" s="18"/>
      <c r="B11" s="1"/>
      <c r="C11" s="1" t="s">
        <v>19</v>
      </c>
      <c r="D11" s="3">
        <v>43375</v>
      </c>
      <c r="E11" s="3">
        <v>43376</v>
      </c>
      <c r="F11" s="3" t="str">
        <f t="shared" si="0"/>
        <v>No</v>
      </c>
      <c r="G11" s="1">
        <f t="shared" si="1"/>
        <v>1</v>
      </c>
      <c r="H11" s="2" t="s">
        <v>8</v>
      </c>
      <c r="I11" s="11" t="s">
        <v>144</v>
      </c>
      <c r="J11" s="11" t="s">
        <v>134</v>
      </c>
      <c r="O11" s="11"/>
      <c r="Y11" s="6"/>
      <c r="Z11" s="8"/>
    </row>
    <row r="12" spans="1:26" ht="15.5" x14ac:dyDescent="0.35">
      <c r="A12" s="18"/>
      <c r="B12" s="1"/>
      <c r="C12" s="1" t="s">
        <v>20</v>
      </c>
      <c r="D12" s="3">
        <v>43375</v>
      </c>
      <c r="E12" s="3">
        <v>43381</v>
      </c>
      <c r="F12" s="3" t="str">
        <f t="shared" si="0"/>
        <v>No</v>
      </c>
      <c r="G12" s="1">
        <f t="shared" si="1"/>
        <v>6</v>
      </c>
      <c r="H12" s="2" t="s">
        <v>8</v>
      </c>
      <c r="I12" s="11" t="s">
        <v>139</v>
      </c>
      <c r="J12" s="11" t="s">
        <v>134</v>
      </c>
      <c r="O12" s="11"/>
      <c r="Y12" s="6"/>
      <c r="Z12" s="8"/>
    </row>
    <row r="13" spans="1:26" ht="15.5" x14ac:dyDescent="0.35">
      <c r="A13" s="18"/>
      <c r="B13" s="1"/>
      <c r="C13" s="1" t="s">
        <v>21</v>
      </c>
      <c r="D13" s="3">
        <v>43375</v>
      </c>
      <c r="E13" s="3">
        <v>43377</v>
      </c>
      <c r="F13" s="3" t="str">
        <f t="shared" si="0"/>
        <v>No</v>
      </c>
      <c r="G13" s="1">
        <f t="shared" si="1"/>
        <v>2</v>
      </c>
      <c r="H13" s="2" t="s">
        <v>8</v>
      </c>
      <c r="I13" s="11" t="s">
        <v>142</v>
      </c>
      <c r="J13" s="11" t="s">
        <v>134</v>
      </c>
      <c r="O13" s="11"/>
      <c r="Y13" s="6"/>
      <c r="Z13" s="8"/>
    </row>
    <row r="14" spans="1:26" ht="15.5" x14ac:dyDescent="0.35">
      <c r="A14" s="18"/>
      <c r="B14" s="1"/>
      <c r="C14" s="1" t="s">
        <v>22</v>
      </c>
      <c r="D14" s="3">
        <v>43375</v>
      </c>
      <c r="E14" s="3">
        <v>43386</v>
      </c>
      <c r="F14" s="3" t="str">
        <f t="shared" si="0"/>
        <v>No</v>
      </c>
      <c r="G14" s="1">
        <f t="shared" si="1"/>
        <v>11</v>
      </c>
      <c r="H14" s="2" t="s">
        <v>8</v>
      </c>
      <c r="I14" s="11" t="s">
        <v>142</v>
      </c>
      <c r="J14" s="11" t="s">
        <v>136</v>
      </c>
      <c r="O14" s="11"/>
      <c r="Y14" s="6"/>
      <c r="Z14" s="8"/>
    </row>
    <row r="15" spans="1:26" ht="15.5" x14ac:dyDescent="0.35">
      <c r="A15" s="18"/>
      <c r="B15" s="1"/>
      <c r="C15" s="1" t="s">
        <v>23</v>
      </c>
      <c r="D15" s="3">
        <v>43375</v>
      </c>
      <c r="E15" s="3">
        <v>43381</v>
      </c>
      <c r="F15" s="3" t="str">
        <f t="shared" si="0"/>
        <v>No</v>
      </c>
      <c r="G15" s="1">
        <f t="shared" si="1"/>
        <v>6</v>
      </c>
      <c r="H15" s="2" t="s">
        <v>8</v>
      </c>
      <c r="I15" s="11" t="s">
        <v>139</v>
      </c>
      <c r="J15" s="11" t="s">
        <v>134</v>
      </c>
      <c r="O15" s="11"/>
      <c r="Y15" s="6"/>
      <c r="Z15" s="8"/>
    </row>
    <row r="16" spans="1:26" ht="15.5" x14ac:dyDescent="0.35">
      <c r="A16" s="18"/>
      <c r="B16" s="1"/>
      <c r="C16" s="1" t="s">
        <v>24</v>
      </c>
      <c r="D16" s="3">
        <v>43375</v>
      </c>
      <c r="E16" s="3">
        <v>43389</v>
      </c>
      <c r="F16" s="3" t="str">
        <f t="shared" si="0"/>
        <v>No</v>
      </c>
      <c r="G16" s="1">
        <f t="shared" si="1"/>
        <v>14</v>
      </c>
      <c r="H16" s="2" t="s">
        <v>8</v>
      </c>
      <c r="I16" s="11" t="s">
        <v>139</v>
      </c>
      <c r="J16" s="11" t="s">
        <v>135</v>
      </c>
      <c r="O16" s="11"/>
      <c r="Y16" s="6"/>
      <c r="Z16" s="9"/>
    </row>
    <row r="17" spans="1:28" ht="15" customHeight="1" x14ac:dyDescent="0.35">
      <c r="A17" s="3"/>
      <c r="B17" s="24"/>
      <c r="C17" s="24"/>
      <c r="D17" s="25"/>
      <c r="E17" s="25"/>
      <c r="F17" s="25"/>
      <c r="G17" s="24" t="str">
        <f t="shared" ref="G17:G82" si="2">IF(DATEDIF(D17,(E17),"d")=0,"",DATEDIF(D17,(E17),"d"))</f>
        <v/>
      </c>
      <c r="H17" s="26"/>
      <c r="I17" s="27"/>
      <c r="J17" s="27"/>
      <c r="K17" s="26"/>
      <c r="Y17" s="12"/>
      <c r="Z17" s="7"/>
    </row>
    <row r="18" spans="1:28" ht="15" customHeight="1" x14ac:dyDescent="0.35">
      <c r="A18" s="18"/>
      <c r="B18" s="1">
        <v>2</v>
      </c>
      <c r="C18" s="1" t="s">
        <v>25</v>
      </c>
      <c r="D18" s="3">
        <v>43389</v>
      </c>
      <c r="E18" s="3">
        <v>43397</v>
      </c>
      <c r="F18" s="3" t="str">
        <f t="shared" si="0"/>
        <v>No</v>
      </c>
      <c r="G18" s="1">
        <f t="shared" si="2"/>
        <v>8</v>
      </c>
      <c r="H18" s="2" t="s">
        <v>8</v>
      </c>
      <c r="I18" s="11" t="s">
        <v>141</v>
      </c>
      <c r="J18" s="11" t="s">
        <v>135</v>
      </c>
      <c r="Y18" s="12"/>
      <c r="Z18" s="7"/>
    </row>
    <row r="19" spans="1:28" ht="15" customHeight="1" x14ac:dyDescent="0.35">
      <c r="A19" s="18"/>
      <c r="B19" s="1"/>
      <c r="C19" s="1" t="s">
        <v>26</v>
      </c>
      <c r="D19" s="3">
        <v>43389</v>
      </c>
      <c r="E19" s="3">
        <v>43397</v>
      </c>
      <c r="F19" s="3" t="str">
        <f t="shared" si="0"/>
        <v>No</v>
      </c>
      <c r="G19" s="1">
        <f t="shared" si="2"/>
        <v>8</v>
      </c>
      <c r="H19" s="2" t="s">
        <v>8</v>
      </c>
      <c r="I19" s="11" t="s">
        <v>141</v>
      </c>
      <c r="J19" s="11" t="s">
        <v>134</v>
      </c>
      <c r="Y19" s="12"/>
      <c r="Z19" s="7"/>
    </row>
    <row r="20" spans="1:28" ht="15" customHeight="1" x14ac:dyDescent="0.35">
      <c r="A20" s="18"/>
      <c r="B20" s="1"/>
      <c r="C20" s="1" t="s">
        <v>28</v>
      </c>
      <c r="D20" s="3">
        <v>43389</v>
      </c>
      <c r="E20" s="3">
        <v>43421</v>
      </c>
      <c r="F20" s="3" t="str">
        <f t="shared" si="0"/>
        <v>Yes</v>
      </c>
      <c r="G20" s="1">
        <f t="shared" si="2"/>
        <v>32</v>
      </c>
      <c r="H20" s="2" t="s">
        <v>8</v>
      </c>
      <c r="I20" s="11" t="s">
        <v>139</v>
      </c>
      <c r="J20" s="11" t="s">
        <v>134</v>
      </c>
      <c r="Y20" s="12"/>
      <c r="Z20" s="7"/>
    </row>
    <row r="21" spans="1:28" ht="15" customHeight="1" x14ac:dyDescent="0.35">
      <c r="A21" s="18"/>
      <c r="B21" s="1"/>
      <c r="C21" s="1" t="s">
        <v>27</v>
      </c>
      <c r="D21" s="3">
        <v>43389</v>
      </c>
      <c r="E21" s="3">
        <v>43421</v>
      </c>
      <c r="F21" s="3" t="str">
        <f t="shared" si="0"/>
        <v>Yes</v>
      </c>
      <c r="G21" s="1">
        <f t="shared" si="2"/>
        <v>32</v>
      </c>
      <c r="H21" s="2" t="s">
        <v>8</v>
      </c>
      <c r="I21" s="11" t="s">
        <v>142</v>
      </c>
      <c r="J21" s="11" t="s">
        <v>134</v>
      </c>
      <c r="Y21" s="12"/>
      <c r="Z21" s="7"/>
    </row>
    <row r="22" spans="1:28" ht="15" customHeight="1" x14ac:dyDescent="0.35">
      <c r="A22" s="18"/>
      <c r="B22" s="1"/>
      <c r="C22" s="1" t="s">
        <v>29</v>
      </c>
      <c r="D22" s="3">
        <v>43389</v>
      </c>
      <c r="E22" s="3">
        <v>43421</v>
      </c>
      <c r="F22" s="3" t="str">
        <f t="shared" si="0"/>
        <v>Yes</v>
      </c>
      <c r="G22" s="1">
        <f t="shared" si="2"/>
        <v>32</v>
      </c>
      <c r="H22" s="2" t="s">
        <v>8</v>
      </c>
      <c r="I22" s="11" t="s">
        <v>145</v>
      </c>
      <c r="J22" s="11" t="s">
        <v>135</v>
      </c>
      <c r="Y22" s="12"/>
      <c r="Z22" s="7"/>
    </row>
    <row r="23" spans="1:28" ht="15" customHeight="1" x14ac:dyDescent="0.35">
      <c r="A23" s="18"/>
      <c r="B23" s="1"/>
      <c r="C23" s="1" t="s">
        <v>30</v>
      </c>
      <c r="D23" s="3">
        <v>43389</v>
      </c>
      <c r="E23" s="3">
        <v>43402</v>
      </c>
      <c r="F23" s="3" t="str">
        <f t="shared" si="0"/>
        <v>No</v>
      </c>
      <c r="G23" s="1">
        <f t="shared" si="2"/>
        <v>13</v>
      </c>
      <c r="H23" s="2" t="s">
        <v>8</v>
      </c>
      <c r="I23" s="11" t="s">
        <v>144</v>
      </c>
      <c r="J23" s="11" t="s">
        <v>134</v>
      </c>
      <c r="Y23" s="12"/>
      <c r="Z23" s="7"/>
    </row>
    <row r="24" spans="1:28" ht="15.5" x14ac:dyDescent="0.35">
      <c r="A24" s="18"/>
      <c r="B24" s="1"/>
      <c r="C24" s="1" t="s">
        <v>31</v>
      </c>
      <c r="D24" s="3">
        <v>43389</v>
      </c>
      <c r="E24" s="3">
        <v>43397</v>
      </c>
      <c r="F24" s="3" t="str">
        <f t="shared" si="0"/>
        <v>No</v>
      </c>
      <c r="G24" s="1">
        <f t="shared" si="2"/>
        <v>8</v>
      </c>
      <c r="H24" s="2" t="s">
        <v>8</v>
      </c>
      <c r="I24" s="11" t="s">
        <v>141</v>
      </c>
      <c r="J24" s="11" t="s">
        <v>134</v>
      </c>
      <c r="Y24" s="6"/>
      <c r="Z24" s="1"/>
    </row>
    <row r="25" spans="1:28" ht="15" customHeight="1" x14ac:dyDescent="0.35">
      <c r="A25" s="18"/>
      <c r="B25" s="1"/>
      <c r="C25" s="1" t="s">
        <v>32</v>
      </c>
      <c r="D25" s="3">
        <v>43389</v>
      </c>
      <c r="E25" s="3">
        <v>43402</v>
      </c>
      <c r="F25" s="3" t="str">
        <f t="shared" si="0"/>
        <v>No</v>
      </c>
      <c r="G25" s="1">
        <f t="shared" si="2"/>
        <v>13</v>
      </c>
      <c r="H25" s="2" t="s">
        <v>8</v>
      </c>
      <c r="I25" s="11" t="s">
        <v>145</v>
      </c>
      <c r="J25" s="11" t="s">
        <v>134</v>
      </c>
      <c r="Y25" s="12"/>
      <c r="Z25" s="7"/>
      <c r="AA25" s="10"/>
    </row>
    <row r="26" spans="1:28" ht="15" customHeight="1" x14ac:dyDescent="0.35">
      <c r="A26" s="18"/>
      <c r="B26" s="1"/>
      <c r="C26" s="1" t="s">
        <v>33</v>
      </c>
      <c r="D26" s="3">
        <v>43389</v>
      </c>
      <c r="E26" s="3">
        <v>43402</v>
      </c>
      <c r="F26" s="3" t="str">
        <f t="shared" si="0"/>
        <v>No</v>
      </c>
      <c r="G26" s="1">
        <f t="shared" si="2"/>
        <v>13</v>
      </c>
      <c r="H26" s="2" t="s">
        <v>8</v>
      </c>
      <c r="I26" s="11" t="s">
        <v>139</v>
      </c>
      <c r="J26" s="11" t="s">
        <v>134</v>
      </c>
      <c r="Y26" s="12"/>
      <c r="Z26" s="7"/>
      <c r="AA26" s="10"/>
      <c r="AB26" s="10"/>
    </row>
    <row r="27" spans="1:28" ht="15" customHeight="1" x14ac:dyDescent="0.35">
      <c r="A27" s="18"/>
      <c r="B27" s="1"/>
      <c r="C27" s="1" t="s">
        <v>34</v>
      </c>
      <c r="D27" s="3">
        <v>43389</v>
      </c>
      <c r="E27" s="3">
        <v>43395</v>
      </c>
      <c r="F27" s="3" t="str">
        <f t="shared" si="0"/>
        <v>No</v>
      </c>
      <c r="G27" s="1">
        <f t="shared" si="2"/>
        <v>6</v>
      </c>
      <c r="H27" s="2" t="s">
        <v>8</v>
      </c>
      <c r="I27" s="11" t="s">
        <v>139</v>
      </c>
      <c r="J27" s="11" t="s">
        <v>134</v>
      </c>
      <c r="Y27" s="12"/>
      <c r="Z27" s="7"/>
      <c r="AA27" s="10"/>
    </row>
    <row r="28" spans="1:28" ht="15" customHeight="1" x14ac:dyDescent="0.35">
      <c r="A28" s="18"/>
      <c r="B28" s="1"/>
      <c r="C28" s="1" t="s">
        <v>35</v>
      </c>
      <c r="D28" s="3">
        <v>43389</v>
      </c>
      <c r="E28" s="3">
        <v>43394</v>
      </c>
      <c r="F28" s="3" t="str">
        <f t="shared" si="0"/>
        <v>No</v>
      </c>
      <c r="G28" s="1">
        <f t="shared" si="2"/>
        <v>5</v>
      </c>
      <c r="H28" s="2" t="s">
        <v>8</v>
      </c>
      <c r="I28" s="11" t="s">
        <v>144</v>
      </c>
      <c r="J28" s="11" t="s">
        <v>134</v>
      </c>
      <c r="P28" s="10"/>
      <c r="Q28" s="10"/>
      <c r="Y28" s="12"/>
      <c r="Z28" s="7"/>
      <c r="AA28" s="10"/>
    </row>
    <row r="29" spans="1:28" ht="15" customHeight="1" x14ac:dyDescent="0.35">
      <c r="A29" s="3"/>
      <c r="B29" s="24"/>
      <c r="C29" s="24"/>
      <c r="D29" s="25"/>
      <c r="E29" s="25"/>
      <c r="F29" s="25"/>
      <c r="G29" s="24" t="str">
        <f t="shared" si="2"/>
        <v/>
      </c>
      <c r="H29" s="26"/>
      <c r="I29" s="26"/>
      <c r="J29" s="26"/>
      <c r="K29" s="26"/>
      <c r="Y29" s="12"/>
      <c r="Z29" s="7"/>
    </row>
    <row r="30" spans="1:28" ht="15" customHeight="1" x14ac:dyDescent="0.35">
      <c r="A30" s="18"/>
      <c r="B30" s="1">
        <v>3</v>
      </c>
      <c r="C30" s="2" t="s">
        <v>36</v>
      </c>
      <c r="D30" s="3">
        <v>43404</v>
      </c>
      <c r="E30" s="3">
        <v>43543</v>
      </c>
      <c r="F30" s="3" t="str">
        <f t="shared" si="0"/>
        <v>Yes</v>
      </c>
      <c r="G30" s="1">
        <f t="shared" si="2"/>
        <v>139</v>
      </c>
      <c r="H30" s="2" t="s">
        <v>6</v>
      </c>
      <c r="I30" s="2" t="s">
        <v>141</v>
      </c>
      <c r="J30" s="2">
        <v>1</v>
      </c>
      <c r="Y30" s="12"/>
      <c r="Z30" s="7"/>
    </row>
    <row r="31" spans="1:28" ht="15" customHeight="1" x14ac:dyDescent="0.35">
      <c r="A31" s="18"/>
      <c r="B31" s="1"/>
      <c r="C31" s="1" t="s">
        <v>37</v>
      </c>
      <c r="D31" s="3">
        <v>43404</v>
      </c>
      <c r="E31" s="3">
        <v>43543</v>
      </c>
      <c r="F31" s="3" t="str">
        <f t="shared" si="0"/>
        <v>Yes</v>
      </c>
      <c r="G31" s="1">
        <f t="shared" si="2"/>
        <v>139</v>
      </c>
      <c r="H31" s="2" t="s">
        <v>6</v>
      </c>
      <c r="I31" s="2" t="s">
        <v>143</v>
      </c>
      <c r="J31" s="2">
        <v>1</v>
      </c>
      <c r="Y31" s="12"/>
      <c r="Z31" s="7"/>
    </row>
    <row r="32" spans="1:28" ht="15" customHeight="1" x14ac:dyDescent="0.35">
      <c r="A32" s="18"/>
      <c r="B32" s="1"/>
      <c r="C32" s="1" t="s">
        <v>38</v>
      </c>
      <c r="D32" s="3">
        <v>43404</v>
      </c>
      <c r="E32" s="3">
        <v>43495</v>
      </c>
      <c r="F32" s="3" t="str">
        <f t="shared" si="0"/>
        <v>Yes</v>
      </c>
      <c r="G32" s="1">
        <f t="shared" si="2"/>
        <v>91</v>
      </c>
      <c r="H32" s="2" t="s">
        <v>8</v>
      </c>
      <c r="I32" s="2" t="s">
        <v>143</v>
      </c>
      <c r="J32" s="2">
        <v>1</v>
      </c>
      <c r="Y32" s="12"/>
      <c r="Z32" s="7"/>
    </row>
    <row r="33" spans="1:26" ht="15" customHeight="1" x14ac:dyDescent="0.35">
      <c r="A33" s="18"/>
      <c r="B33" s="1"/>
      <c r="C33" s="1" t="s">
        <v>39</v>
      </c>
      <c r="D33" s="3">
        <v>43404</v>
      </c>
      <c r="E33" s="3">
        <v>43543</v>
      </c>
      <c r="F33" s="3" t="str">
        <f t="shared" si="0"/>
        <v>Yes</v>
      </c>
      <c r="G33" s="1">
        <f t="shared" si="2"/>
        <v>139</v>
      </c>
      <c r="H33" s="2" t="s">
        <v>8</v>
      </c>
      <c r="I33" s="2" t="s">
        <v>139</v>
      </c>
      <c r="J33" s="2">
        <v>5</v>
      </c>
      <c r="P33" s="10"/>
      <c r="Q33" s="10"/>
      <c r="Y33" s="12"/>
      <c r="Z33" s="7"/>
    </row>
    <row r="34" spans="1:26" ht="15.5" x14ac:dyDescent="0.35">
      <c r="A34" s="18"/>
      <c r="B34" s="1"/>
      <c r="C34" s="1" t="s">
        <v>40</v>
      </c>
      <c r="D34" s="3">
        <v>43404</v>
      </c>
      <c r="E34" s="3">
        <v>43436</v>
      </c>
      <c r="F34" s="3" t="str">
        <f t="shared" si="0"/>
        <v>Yes</v>
      </c>
      <c r="G34" s="1">
        <f t="shared" si="2"/>
        <v>32</v>
      </c>
      <c r="H34" s="2" t="s">
        <v>8</v>
      </c>
      <c r="I34" s="2" t="s">
        <v>142</v>
      </c>
      <c r="J34" s="2">
        <v>2</v>
      </c>
      <c r="Y34" s="6"/>
      <c r="Z34" s="7"/>
    </row>
    <row r="35" spans="1:26" ht="15.5" x14ac:dyDescent="0.35">
      <c r="A35" s="18"/>
      <c r="B35" s="1"/>
      <c r="C35" s="1" t="s">
        <v>41</v>
      </c>
      <c r="D35" s="3">
        <v>43404</v>
      </c>
      <c r="E35" s="3">
        <v>43439</v>
      </c>
      <c r="F35" s="3" t="str">
        <f t="shared" si="0"/>
        <v>Yes</v>
      </c>
      <c r="G35" s="1">
        <f t="shared" si="2"/>
        <v>35</v>
      </c>
      <c r="H35" s="2" t="s">
        <v>8</v>
      </c>
      <c r="I35" s="2" t="s">
        <v>142</v>
      </c>
      <c r="J35" s="2">
        <v>2</v>
      </c>
      <c r="K35" s="1"/>
      <c r="Y35" s="6"/>
      <c r="Z35" s="7"/>
    </row>
    <row r="36" spans="1:26" ht="15.5" x14ac:dyDescent="0.35">
      <c r="A36" s="18"/>
      <c r="B36" s="1"/>
      <c r="C36" s="1" t="s">
        <v>42</v>
      </c>
      <c r="D36" s="3">
        <v>43404</v>
      </c>
      <c r="E36" s="3">
        <v>43480</v>
      </c>
      <c r="F36" s="3" t="str">
        <f t="shared" si="0"/>
        <v>Yes</v>
      </c>
      <c r="G36" s="1">
        <f t="shared" si="2"/>
        <v>76</v>
      </c>
      <c r="H36" s="2" t="s">
        <v>8</v>
      </c>
      <c r="I36" s="2" t="s">
        <v>144</v>
      </c>
      <c r="J36" s="2">
        <v>1</v>
      </c>
      <c r="Y36" s="6"/>
      <c r="Z36" s="7"/>
    </row>
    <row r="37" spans="1:26" ht="15.5" x14ac:dyDescent="0.35">
      <c r="A37" s="18"/>
      <c r="B37" s="1"/>
      <c r="C37" s="1" t="s">
        <v>43</v>
      </c>
      <c r="D37" s="3">
        <v>43404</v>
      </c>
      <c r="E37" s="3">
        <v>43417</v>
      </c>
      <c r="F37" s="3" t="str">
        <f t="shared" si="0"/>
        <v>No</v>
      </c>
      <c r="G37" s="1">
        <f t="shared" si="2"/>
        <v>13</v>
      </c>
      <c r="H37" s="2" t="s">
        <v>8</v>
      </c>
      <c r="I37" s="2" t="s">
        <v>145</v>
      </c>
      <c r="J37" s="2">
        <v>1</v>
      </c>
      <c r="Y37" s="6"/>
      <c r="Z37" s="7"/>
    </row>
    <row r="38" spans="1:26" ht="15.5" x14ac:dyDescent="0.35">
      <c r="A38" s="18"/>
      <c r="B38" s="1"/>
      <c r="C38" s="1" t="s">
        <v>44</v>
      </c>
      <c r="D38" s="3">
        <v>43404</v>
      </c>
      <c r="E38" s="3">
        <v>43410</v>
      </c>
      <c r="F38" s="3" t="str">
        <f t="shared" si="0"/>
        <v>No</v>
      </c>
      <c r="G38" s="1">
        <f t="shared" si="2"/>
        <v>6</v>
      </c>
      <c r="H38" s="2" t="s">
        <v>8</v>
      </c>
      <c r="I38" s="2" t="s">
        <v>139</v>
      </c>
      <c r="J38" s="2">
        <v>1</v>
      </c>
      <c r="Y38" s="6"/>
      <c r="Z38" s="7"/>
    </row>
    <row r="39" spans="1:26" ht="15.5" x14ac:dyDescent="0.35">
      <c r="A39" s="18"/>
      <c r="B39" s="1"/>
      <c r="C39" s="1" t="s">
        <v>45</v>
      </c>
      <c r="D39" s="3">
        <v>43404</v>
      </c>
      <c r="E39" s="3">
        <v>43421</v>
      </c>
      <c r="F39" s="3" t="str">
        <f t="shared" si="0"/>
        <v>Yes</v>
      </c>
      <c r="G39" s="1">
        <f t="shared" si="2"/>
        <v>17</v>
      </c>
      <c r="H39" s="2" t="s">
        <v>8</v>
      </c>
      <c r="I39" s="2" t="s">
        <v>145</v>
      </c>
      <c r="J39" s="2">
        <v>2</v>
      </c>
      <c r="Y39" s="6"/>
      <c r="Z39" s="7"/>
    </row>
    <row r="40" spans="1:26" ht="15.5" x14ac:dyDescent="0.35">
      <c r="A40" s="18"/>
      <c r="B40" s="1"/>
      <c r="C40" s="1" t="s">
        <v>46</v>
      </c>
      <c r="D40" s="3">
        <v>43404</v>
      </c>
      <c r="E40" s="3">
        <v>43482</v>
      </c>
      <c r="F40" s="3" t="str">
        <f t="shared" si="0"/>
        <v>Yes</v>
      </c>
      <c r="G40" s="1">
        <f t="shared" si="2"/>
        <v>78</v>
      </c>
      <c r="H40" s="2" t="s">
        <v>8</v>
      </c>
      <c r="I40" s="2" t="s">
        <v>144</v>
      </c>
      <c r="J40" s="2">
        <v>1</v>
      </c>
      <c r="Y40" s="6"/>
      <c r="Z40" s="7"/>
    </row>
    <row r="41" spans="1:26" ht="15.5" x14ac:dyDescent="0.35">
      <c r="A41" s="18"/>
      <c r="B41" s="1"/>
      <c r="C41" s="1" t="s">
        <v>47</v>
      </c>
      <c r="D41" s="3">
        <v>43404</v>
      </c>
      <c r="E41" s="3">
        <v>43421</v>
      </c>
      <c r="F41" s="3" t="str">
        <f t="shared" si="0"/>
        <v>Yes</v>
      </c>
      <c r="G41" s="1">
        <f t="shared" si="2"/>
        <v>17</v>
      </c>
      <c r="H41" s="2" t="s">
        <v>8</v>
      </c>
      <c r="I41" s="2" t="s">
        <v>141</v>
      </c>
      <c r="J41" s="2">
        <v>2</v>
      </c>
      <c r="Y41" s="6"/>
      <c r="Z41" s="7"/>
    </row>
    <row r="42" spans="1:26" ht="15" customHeight="1" x14ac:dyDescent="0.35">
      <c r="A42" s="3"/>
      <c r="B42" s="24"/>
      <c r="C42" s="24"/>
      <c r="D42" s="25"/>
      <c r="E42" s="25"/>
      <c r="F42" s="25"/>
      <c r="G42" s="24" t="str">
        <f t="shared" si="2"/>
        <v/>
      </c>
      <c r="H42" s="26"/>
      <c r="I42" s="26"/>
      <c r="J42" s="26"/>
      <c r="K42" s="26"/>
      <c r="Y42" s="12"/>
      <c r="Z42" s="7"/>
    </row>
    <row r="43" spans="1:26" ht="15" customHeight="1" x14ac:dyDescent="0.35">
      <c r="A43" s="18"/>
      <c r="B43" s="1">
        <v>4</v>
      </c>
      <c r="C43" s="1" t="s">
        <v>48</v>
      </c>
      <c r="D43" s="3">
        <v>43421</v>
      </c>
      <c r="E43" s="3">
        <v>43486</v>
      </c>
      <c r="F43" s="3" t="str">
        <f t="shared" si="0"/>
        <v>Yes</v>
      </c>
      <c r="G43" s="1">
        <f t="shared" si="2"/>
        <v>65</v>
      </c>
      <c r="H43" s="2" t="s">
        <v>8</v>
      </c>
      <c r="I43" s="2" t="s">
        <v>141</v>
      </c>
      <c r="J43" s="2">
        <v>3</v>
      </c>
      <c r="Y43" s="12"/>
      <c r="Z43" s="7"/>
    </row>
    <row r="44" spans="1:26" ht="15" customHeight="1" x14ac:dyDescent="0.35">
      <c r="A44" s="18"/>
      <c r="B44" s="1"/>
      <c r="C44" s="1" t="s">
        <v>49</v>
      </c>
      <c r="D44" s="3">
        <v>43421</v>
      </c>
      <c r="E44" s="3">
        <v>43436</v>
      </c>
      <c r="F44" s="3" t="str">
        <f t="shared" si="0"/>
        <v>Yes</v>
      </c>
      <c r="G44" s="1">
        <f t="shared" si="2"/>
        <v>15</v>
      </c>
      <c r="H44" s="2" t="s">
        <v>8</v>
      </c>
      <c r="I44" s="2" t="s">
        <v>142</v>
      </c>
      <c r="J44" s="2">
        <v>1</v>
      </c>
      <c r="Y44" s="12"/>
      <c r="Z44" s="7"/>
    </row>
    <row r="45" spans="1:26" ht="15" customHeight="1" x14ac:dyDescent="0.35">
      <c r="A45" s="18"/>
      <c r="B45" s="1"/>
      <c r="C45" s="1" t="s">
        <v>138</v>
      </c>
      <c r="D45" s="3">
        <v>43421</v>
      </c>
      <c r="E45" s="3">
        <v>43429</v>
      </c>
      <c r="F45" s="3" t="str">
        <f t="shared" si="0"/>
        <v>No</v>
      </c>
      <c r="G45" s="1">
        <f t="shared" si="2"/>
        <v>8</v>
      </c>
      <c r="H45" s="2" t="s">
        <v>8</v>
      </c>
      <c r="I45" s="2" t="s">
        <v>144</v>
      </c>
      <c r="J45" s="2">
        <v>1</v>
      </c>
      <c r="Y45" s="12"/>
      <c r="Z45" s="7"/>
    </row>
    <row r="46" spans="1:26" ht="15" customHeight="1" x14ac:dyDescent="0.35">
      <c r="A46" s="18"/>
      <c r="B46" s="1"/>
      <c r="C46" s="1" t="s">
        <v>50</v>
      </c>
      <c r="D46" s="3">
        <v>43421</v>
      </c>
      <c r="E46" s="3">
        <v>43439</v>
      </c>
      <c r="F46" s="3" t="str">
        <f t="shared" si="0"/>
        <v>Yes</v>
      </c>
      <c r="G46" s="1">
        <f t="shared" si="2"/>
        <v>18</v>
      </c>
      <c r="H46" s="2" t="s">
        <v>8</v>
      </c>
      <c r="I46" s="2" t="s">
        <v>141</v>
      </c>
      <c r="J46" s="2">
        <v>1</v>
      </c>
      <c r="Y46" s="12"/>
      <c r="Z46" s="7"/>
    </row>
    <row r="47" spans="1:26" ht="15" customHeight="1" x14ac:dyDescent="0.35">
      <c r="A47" s="18"/>
      <c r="B47" s="1"/>
      <c r="C47" s="1" t="s">
        <v>51</v>
      </c>
      <c r="D47" s="3">
        <v>43421</v>
      </c>
      <c r="E47" s="3">
        <v>43430</v>
      </c>
      <c r="F47" s="3" t="str">
        <f t="shared" si="0"/>
        <v>No</v>
      </c>
      <c r="G47" s="1">
        <f t="shared" si="2"/>
        <v>9</v>
      </c>
      <c r="H47" s="2" t="s">
        <v>8</v>
      </c>
      <c r="I47" s="2" t="s">
        <v>139</v>
      </c>
      <c r="J47" s="2">
        <v>1</v>
      </c>
      <c r="Y47" s="12"/>
      <c r="Z47" s="7"/>
    </row>
    <row r="48" spans="1:26" ht="15" customHeight="1" x14ac:dyDescent="0.35">
      <c r="A48" s="18"/>
      <c r="B48" s="1"/>
      <c r="C48" s="1" t="s">
        <v>52</v>
      </c>
      <c r="D48" s="3">
        <v>43421</v>
      </c>
      <c r="E48" s="3">
        <v>43430</v>
      </c>
      <c r="F48" s="3" t="str">
        <f t="shared" si="0"/>
        <v>No</v>
      </c>
      <c r="G48" s="1">
        <f t="shared" si="2"/>
        <v>9</v>
      </c>
      <c r="H48" s="2" t="s">
        <v>8</v>
      </c>
      <c r="I48" s="2" t="s">
        <v>144</v>
      </c>
      <c r="J48" s="2">
        <v>1</v>
      </c>
      <c r="Y48" s="12"/>
      <c r="Z48" s="7"/>
    </row>
    <row r="49" spans="1:26" ht="15" customHeight="1" x14ac:dyDescent="0.35">
      <c r="A49" s="18"/>
      <c r="B49" s="1"/>
      <c r="C49" s="1" t="s">
        <v>53</v>
      </c>
      <c r="D49" s="3">
        <v>43421</v>
      </c>
      <c r="E49" s="3">
        <v>43439</v>
      </c>
      <c r="F49" s="3" t="str">
        <f t="shared" si="0"/>
        <v>Yes</v>
      </c>
      <c r="G49" s="1">
        <f t="shared" si="2"/>
        <v>18</v>
      </c>
      <c r="H49" s="2" t="s">
        <v>8</v>
      </c>
      <c r="I49" s="2" t="s">
        <v>144</v>
      </c>
      <c r="J49" s="2">
        <v>1</v>
      </c>
      <c r="Y49" s="12"/>
      <c r="Z49" s="7"/>
    </row>
    <row r="50" spans="1:26" ht="15" customHeight="1" x14ac:dyDescent="0.35">
      <c r="A50" s="18"/>
      <c r="B50" s="1"/>
      <c r="C50" s="1" t="s">
        <v>54</v>
      </c>
      <c r="D50" s="3">
        <v>43421</v>
      </c>
      <c r="E50" s="3">
        <v>43543</v>
      </c>
      <c r="F50" s="3" t="str">
        <f t="shared" si="0"/>
        <v>Yes</v>
      </c>
      <c r="G50" s="1">
        <f t="shared" si="2"/>
        <v>122</v>
      </c>
      <c r="H50" s="2" t="s">
        <v>8</v>
      </c>
      <c r="I50" s="2" t="s">
        <v>145</v>
      </c>
      <c r="J50" s="2">
        <v>2</v>
      </c>
      <c r="Y50" s="12"/>
      <c r="Z50" s="7"/>
    </row>
    <row r="51" spans="1:26" ht="15" customHeight="1" x14ac:dyDescent="0.35">
      <c r="A51" s="3"/>
      <c r="B51" s="24"/>
      <c r="C51" s="24"/>
      <c r="D51" s="25"/>
      <c r="E51" s="25"/>
      <c r="F51" s="25"/>
      <c r="G51" s="24" t="str">
        <f t="shared" si="2"/>
        <v/>
      </c>
      <c r="H51" s="26"/>
      <c r="I51" s="26"/>
      <c r="J51" s="26"/>
      <c r="K51" s="26"/>
      <c r="Y51" s="12"/>
      <c r="Z51" s="7"/>
    </row>
    <row r="52" spans="1:26" ht="15" customHeight="1" x14ac:dyDescent="0.35">
      <c r="A52" s="18"/>
      <c r="B52" s="15">
        <v>5</v>
      </c>
      <c r="C52" s="1" t="s">
        <v>55</v>
      </c>
      <c r="D52" s="3">
        <v>43439</v>
      </c>
      <c r="E52" s="3">
        <v>43543</v>
      </c>
      <c r="F52" s="3" t="str">
        <f t="shared" si="0"/>
        <v>Yes</v>
      </c>
      <c r="G52" s="20">
        <f t="shared" si="2"/>
        <v>104</v>
      </c>
      <c r="H52" s="2" t="s">
        <v>6</v>
      </c>
      <c r="I52" s="2" t="s">
        <v>145</v>
      </c>
      <c r="J52" s="2">
        <v>2</v>
      </c>
      <c r="Y52" s="12"/>
      <c r="Z52" s="7"/>
    </row>
    <row r="53" spans="1:26" ht="15" customHeight="1" x14ac:dyDescent="0.35">
      <c r="A53" s="18"/>
      <c r="B53" s="15"/>
      <c r="C53" s="1" t="s">
        <v>56</v>
      </c>
      <c r="D53" s="3">
        <v>43439</v>
      </c>
      <c r="E53" s="3">
        <v>43480</v>
      </c>
      <c r="F53" s="3" t="str">
        <f t="shared" si="0"/>
        <v>Yes</v>
      </c>
      <c r="G53" s="20">
        <f t="shared" si="2"/>
        <v>41</v>
      </c>
      <c r="H53" s="2" t="s">
        <v>6</v>
      </c>
      <c r="I53" s="2" t="s">
        <v>143</v>
      </c>
      <c r="J53" s="2">
        <v>1</v>
      </c>
      <c r="Y53" s="12"/>
      <c r="Z53" s="7"/>
    </row>
    <row r="54" spans="1:26" ht="15" customHeight="1" x14ac:dyDescent="0.35">
      <c r="A54" s="18"/>
      <c r="B54" s="15"/>
      <c r="C54" s="1" t="s">
        <v>57</v>
      </c>
      <c r="D54" s="3">
        <v>43439</v>
      </c>
      <c r="E54" s="3">
        <v>43480</v>
      </c>
      <c r="F54" s="3" t="str">
        <f t="shared" si="0"/>
        <v>Yes</v>
      </c>
      <c r="G54" s="20">
        <f t="shared" si="2"/>
        <v>41</v>
      </c>
      <c r="H54" s="2" t="s">
        <v>8</v>
      </c>
      <c r="I54" s="2" t="s">
        <v>139</v>
      </c>
      <c r="J54" s="2">
        <v>1</v>
      </c>
      <c r="Y54" s="12"/>
      <c r="Z54" s="7"/>
    </row>
    <row r="55" spans="1:26" ht="15" customHeight="1" x14ac:dyDescent="0.35">
      <c r="A55" s="18"/>
      <c r="B55" s="15"/>
      <c r="C55" s="1" t="s">
        <v>58</v>
      </c>
      <c r="D55" s="3">
        <v>43439</v>
      </c>
      <c r="E55" s="3">
        <v>43480</v>
      </c>
      <c r="F55" s="3" t="str">
        <f t="shared" si="0"/>
        <v>Yes</v>
      </c>
      <c r="G55" s="20">
        <f t="shared" si="2"/>
        <v>41</v>
      </c>
      <c r="H55" s="2" t="s">
        <v>8</v>
      </c>
      <c r="I55" s="2" t="s">
        <v>142</v>
      </c>
      <c r="J55" s="2">
        <v>5</v>
      </c>
      <c r="Y55" s="12"/>
      <c r="Z55" s="7"/>
    </row>
    <row r="56" spans="1:26" ht="15" customHeight="1" x14ac:dyDescent="0.35">
      <c r="A56" s="18"/>
      <c r="B56" s="15"/>
      <c r="C56" s="1" t="s">
        <v>59</v>
      </c>
      <c r="D56" s="3">
        <v>43439</v>
      </c>
      <c r="E56" s="3">
        <v>43480</v>
      </c>
      <c r="F56" s="3" t="str">
        <f t="shared" si="0"/>
        <v>Yes</v>
      </c>
      <c r="G56" s="20">
        <f t="shared" si="2"/>
        <v>41</v>
      </c>
      <c r="H56" s="2" t="s">
        <v>8</v>
      </c>
      <c r="I56" s="2" t="s">
        <v>141</v>
      </c>
      <c r="J56" s="2">
        <v>2</v>
      </c>
      <c r="Y56" s="12"/>
      <c r="Z56" s="7"/>
    </row>
    <row r="57" spans="1:26" ht="15" customHeight="1" x14ac:dyDescent="0.35">
      <c r="A57" s="18"/>
      <c r="B57" s="15"/>
      <c r="C57" s="1" t="s">
        <v>60</v>
      </c>
      <c r="D57" s="3">
        <v>43439</v>
      </c>
      <c r="E57" s="3">
        <v>43543</v>
      </c>
      <c r="F57" s="3" t="str">
        <f t="shared" si="0"/>
        <v>Yes</v>
      </c>
      <c r="G57" s="20">
        <f t="shared" si="2"/>
        <v>104</v>
      </c>
      <c r="H57" s="2" t="s">
        <v>8</v>
      </c>
      <c r="I57" s="2" t="s">
        <v>139</v>
      </c>
      <c r="J57" s="2">
        <v>1</v>
      </c>
      <c r="Y57" s="12"/>
      <c r="Z57" s="7"/>
    </row>
    <row r="58" spans="1:26" ht="15" customHeight="1" x14ac:dyDescent="0.35">
      <c r="A58" s="18"/>
      <c r="B58" s="15"/>
      <c r="C58" s="1" t="s">
        <v>61</v>
      </c>
      <c r="D58" s="3">
        <v>43439</v>
      </c>
      <c r="E58" s="3">
        <v>43448</v>
      </c>
      <c r="F58" s="3" t="str">
        <f t="shared" si="0"/>
        <v>No</v>
      </c>
      <c r="G58" s="20">
        <f t="shared" si="2"/>
        <v>9</v>
      </c>
      <c r="H58" s="2" t="s">
        <v>8</v>
      </c>
      <c r="I58" s="2" t="s">
        <v>139</v>
      </c>
      <c r="J58" s="2">
        <v>2</v>
      </c>
      <c r="Y58" s="12"/>
      <c r="Z58" s="7"/>
    </row>
    <row r="59" spans="1:26" ht="15" customHeight="1" x14ac:dyDescent="0.35">
      <c r="A59" s="18"/>
      <c r="B59" s="15"/>
      <c r="C59" s="1" t="s">
        <v>62</v>
      </c>
      <c r="D59" s="3">
        <v>43439</v>
      </c>
      <c r="E59" s="3">
        <v>43448</v>
      </c>
      <c r="F59" s="3" t="str">
        <f t="shared" si="0"/>
        <v>No</v>
      </c>
      <c r="G59" s="20">
        <f t="shared" si="2"/>
        <v>9</v>
      </c>
      <c r="H59" s="2" t="s">
        <v>8</v>
      </c>
      <c r="I59" s="2" t="s">
        <v>144</v>
      </c>
      <c r="J59" s="2">
        <v>1</v>
      </c>
      <c r="Y59" s="12"/>
      <c r="Z59" s="7"/>
    </row>
    <row r="60" spans="1:26" ht="15" customHeight="1" x14ac:dyDescent="0.35">
      <c r="A60" s="18"/>
      <c r="B60" s="15"/>
      <c r="C60" s="1" t="s">
        <v>63</v>
      </c>
      <c r="D60" s="3">
        <v>43439</v>
      </c>
      <c r="E60" s="3">
        <v>43480</v>
      </c>
      <c r="F60" s="3" t="str">
        <f t="shared" si="0"/>
        <v>Yes</v>
      </c>
      <c r="G60" s="20">
        <f t="shared" si="2"/>
        <v>41</v>
      </c>
      <c r="H60" s="2" t="s">
        <v>8</v>
      </c>
      <c r="I60" s="2" t="s">
        <v>139</v>
      </c>
      <c r="J60" s="2">
        <v>3</v>
      </c>
      <c r="Y60" s="12"/>
      <c r="Z60" s="7"/>
    </row>
    <row r="61" spans="1:26" ht="15" customHeight="1" x14ac:dyDescent="0.35">
      <c r="A61" s="18"/>
      <c r="B61" s="15"/>
      <c r="C61" s="1" t="s">
        <v>64</v>
      </c>
      <c r="D61" s="3">
        <v>43439</v>
      </c>
      <c r="E61" s="3">
        <v>43480</v>
      </c>
      <c r="F61" s="3" t="str">
        <f t="shared" si="0"/>
        <v>Yes</v>
      </c>
      <c r="G61" s="20">
        <f t="shared" si="2"/>
        <v>41</v>
      </c>
      <c r="H61" s="2" t="s">
        <v>8</v>
      </c>
      <c r="I61" s="2" t="s">
        <v>141</v>
      </c>
      <c r="J61" s="2">
        <v>2</v>
      </c>
      <c r="Y61" s="12"/>
      <c r="Z61" s="7"/>
    </row>
    <row r="62" spans="1:26" ht="15" customHeight="1" x14ac:dyDescent="0.35">
      <c r="A62" s="18"/>
      <c r="B62" s="15"/>
      <c r="C62" s="1" t="s">
        <v>65</v>
      </c>
      <c r="D62" s="3">
        <v>43439</v>
      </c>
      <c r="E62" s="3">
        <v>43506</v>
      </c>
      <c r="F62" s="3" t="str">
        <f t="shared" si="0"/>
        <v>Yes</v>
      </c>
      <c r="G62" s="20">
        <f t="shared" si="2"/>
        <v>67</v>
      </c>
      <c r="H62" s="2" t="s">
        <v>8</v>
      </c>
      <c r="I62" s="2" t="s">
        <v>142</v>
      </c>
      <c r="J62" s="2">
        <v>1</v>
      </c>
      <c r="Y62" s="12"/>
      <c r="Z62" s="7"/>
    </row>
    <row r="63" spans="1:26" ht="15" customHeight="1" x14ac:dyDescent="0.35">
      <c r="A63" s="17"/>
      <c r="B63" s="28"/>
      <c r="C63" s="24"/>
      <c r="D63" s="25"/>
      <c r="E63" s="25"/>
      <c r="F63" s="25"/>
      <c r="G63" s="29"/>
      <c r="H63" s="26"/>
      <c r="I63" s="26"/>
      <c r="J63" s="26"/>
      <c r="K63" s="26"/>
      <c r="Y63" s="12"/>
      <c r="Z63" s="7"/>
    </row>
    <row r="64" spans="1:26" ht="15" customHeight="1" x14ac:dyDescent="0.35">
      <c r="A64" s="3"/>
      <c r="B64" s="15">
        <v>6</v>
      </c>
      <c r="C64" s="1" t="s">
        <v>70</v>
      </c>
      <c r="D64" s="3">
        <v>43480</v>
      </c>
      <c r="E64" s="3">
        <v>43506</v>
      </c>
      <c r="F64" s="3" t="str">
        <f t="shared" si="0"/>
        <v>Yes</v>
      </c>
      <c r="G64" s="1">
        <f t="shared" si="2"/>
        <v>26</v>
      </c>
      <c r="H64" s="2" t="s">
        <v>8</v>
      </c>
      <c r="I64" s="2" t="s">
        <v>139</v>
      </c>
      <c r="J64" s="2">
        <v>3</v>
      </c>
      <c r="Y64" s="12"/>
      <c r="Z64" s="7"/>
    </row>
    <row r="65" spans="1:26" ht="15.5" x14ac:dyDescent="0.35">
      <c r="A65" s="3"/>
      <c r="B65" s="15"/>
      <c r="C65" s="1" t="s">
        <v>71</v>
      </c>
      <c r="D65" s="3">
        <v>43480</v>
      </c>
      <c r="E65" s="3">
        <v>43506</v>
      </c>
      <c r="F65" s="3" t="str">
        <f t="shared" si="0"/>
        <v>Yes</v>
      </c>
      <c r="G65" s="1">
        <f t="shared" si="2"/>
        <v>26</v>
      </c>
      <c r="H65" s="2" t="s">
        <v>8</v>
      </c>
      <c r="I65" s="2" t="s">
        <v>140</v>
      </c>
      <c r="J65" s="2">
        <v>2</v>
      </c>
      <c r="Y65" s="6"/>
      <c r="Z65" s="9"/>
    </row>
    <row r="66" spans="1:26" x14ac:dyDescent="0.35">
      <c r="A66" s="1"/>
      <c r="B66" s="15"/>
      <c r="C66" s="1" t="s">
        <v>72</v>
      </c>
      <c r="D66" s="3">
        <v>43480</v>
      </c>
      <c r="E66" s="3">
        <v>43487</v>
      </c>
      <c r="F66" s="3" t="str">
        <f t="shared" si="0"/>
        <v>No</v>
      </c>
      <c r="G66" s="1">
        <f t="shared" si="2"/>
        <v>7</v>
      </c>
      <c r="H66" s="2" t="s">
        <v>8</v>
      </c>
      <c r="I66" s="2" t="s">
        <v>141</v>
      </c>
      <c r="J66" s="2">
        <v>1</v>
      </c>
    </row>
    <row r="67" spans="1:26" ht="15.5" x14ac:dyDescent="0.35">
      <c r="A67" s="1"/>
      <c r="B67" s="15"/>
      <c r="C67" s="1" t="s">
        <v>66</v>
      </c>
      <c r="D67" s="3">
        <v>43480</v>
      </c>
      <c r="E67" s="3">
        <v>43481</v>
      </c>
      <c r="F67" s="3" t="str">
        <f t="shared" si="0"/>
        <v>No</v>
      </c>
      <c r="G67" s="20">
        <f t="shared" si="2"/>
        <v>1</v>
      </c>
      <c r="H67" s="2" t="s">
        <v>8</v>
      </c>
      <c r="I67" s="2" t="s">
        <v>142</v>
      </c>
      <c r="J67" s="2">
        <v>1</v>
      </c>
      <c r="Y67" s="6"/>
      <c r="Z67" s="7"/>
    </row>
    <row r="68" spans="1:26" ht="15.5" x14ac:dyDescent="0.35">
      <c r="A68" s="1"/>
      <c r="B68" s="15"/>
      <c r="C68" s="1" t="s">
        <v>67</v>
      </c>
      <c r="D68" s="3">
        <v>43480</v>
      </c>
      <c r="E68" s="3">
        <v>43490</v>
      </c>
      <c r="F68" s="3" t="str">
        <f t="shared" si="0"/>
        <v>No</v>
      </c>
      <c r="G68" s="20">
        <f t="shared" si="2"/>
        <v>10</v>
      </c>
      <c r="H68" s="2" t="s">
        <v>8</v>
      </c>
      <c r="I68" s="2" t="s">
        <v>143</v>
      </c>
      <c r="J68" s="2">
        <v>2</v>
      </c>
      <c r="Y68" s="6"/>
      <c r="Z68" s="8"/>
    </row>
    <row r="69" spans="1:26" ht="15.5" x14ac:dyDescent="0.35">
      <c r="A69" s="1"/>
      <c r="B69" s="15"/>
      <c r="C69" s="1" t="s">
        <v>73</v>
      </c>
      <c r="D69" s="3">
        <v>43480</v>
      </c>
      <c r="E69" s="3">
        <v>43494</v>
      </c>
      <c r="F69" s="3" t="str">
        <f t="shared" ref="F69:F132" si="3">IF(E69-D69&gt;14,"Yes","No")</f>
        <v>No</v>
      </c>
      <c r="G69" s="20">
        <f t="shared" si="2"/>
        <v>14</v>
      </c>
      <c r="H69" s="2" t="s">
        <v>8</v>
      </c>
      <c r="I69" s="2" t="s">
        <v>139</v>
      </c>
      <c r="J69" s="2">
        <v>1</v>
      </c>
      <c r="Y69" s="6"/>
      <c r="Z69" s="8"/>
    </row>
    <row r="70" spans="1:26" ht="15.5" x14ac:dyDescent="0.35">
      <c r="B70" s="15"/>
      <c r="C70" s="2" t="s">
        <v>74</v>
      </c>
      <c r="D70" s="3">
        <v>43480</v>
      </c>
      <c r="E70" s="4">
        <v>43494</v>
      </c>
      <c r="F70" s="3" t="str">
        <f t="shared" si="3"/>
        <v>No</v>
      </c>
      <c r="G70" s="20">
        <f t="shared" si="2"/>
        <v>14</v>
      </c>
      <c r="H70" s="2" t="s">
        <v>8</v>
      </c>
      <c r="I70" s="2" t="s">
        <v>141</v>
      </c>
      <c r="J70" s="2">
        <v>1</v>
      </c>
      <c r="Y70" s="6"/>
      <c r="Z70" s="9"/>
    </row>
    <row r="71" spans="1:26" ht="15" customHeight="1" x14ac:dyDescent="0.35">
      <c r="B71" s="15"/>
      <c r="C71" s="2" t="s">
        <v>68</v>
      </c>
      <c r="D71" s="3">
        <v>43480</v>
      </c>
      <c r="E71" s="4">
        <v>43508</v>
      </c>
      <c r="F71" s="3" t="str">
        <f t="shared" si="3"/>
        <v>Yes</v>
      </c>
      <c r="G71" s="20">
        <f t="shared" si="2"/>
        <v>28</v>
      </c>
      <c r="H71" s="2" t="s">
        <v>8</v>
      </c>
      <c r="I71" s="2" t="s">
        <v>143</v>
      </c>
      <c r="J71" s="2">
        <v>1</v>
      </c>
      <c r="Y71" s="12"/>
      <c r="Z71" s="7"/>
    </row>
    <row r="72" spans="1:26" ht="15" customHeight="1" x14ac:dyDescent="0.35">
      <c r="B72" s="15"/>
      <c r="C72" s="2" t="s">
        <v>69</v>
      </c>
      <c r="D72" s="3">
        <v>43480</v>
      </c>
      <c r="E72" s="4">
        <v>43508</v>
      </c>
      <c r="F72" s="3" t="str">
        <f t="shared" si="3"/>
        <v>Yes</v>
      </c>
      <c r="G72" s="1">
        <f t="shared" si="2"/>
        <v>28</v>
      </c>
      <c r="H72" s="2" t="s">
        <v>8</v>
      </c>
      <c r="I72" s="2" t="s">
        <v>144</v>
      </c>
      <c r="J72" s="2">
        <v>5</v>
      </c>
      <c r="Y72" s="12"/>
      <c r="Z72" s="7"/>
    </row>
    <row r="73" spans="1:26" ht="15" customHeight="1" x14ac:dyDescent="0.35">
      <c r="B73" s="28"/>
      <c r="C73" s="26"/>
      <c r="D73" s="25"/>
      <c r="E73" s="30"/>
      <c r="F73" s="25"/>
      <c r="G73" s="24"/>
      <c r="H73" s="26"/>
      <c r="I73" s="26"/>
      <c r="J73" s="26"/>
      <c r="K73" s="26"/>
      <c r="Y73" s="12"/>
      <c r="Z73" s="7"/>
    </row>
    <row r="74" spans="1:26" ht="15" customHeight="1" x14ac:dyDescent="0.35">
      <c r="B74" s="16">
        <v>7</v>
      </c>
      <c r="C74" s="2" t="s">
        <v>75</v>
      </c>
      <c r="D74" s="4">
        <v>43494</v>
      </c>
      <c r="E74" s="4">
        <v>43538</v>
      </c>
      <c r="F74" s="3" t="str">
        <f t="shared" si="3"/>
        <v>Yes</v>
      </c>
      <c r="G74" s="2">
        <f t="shared" si="2"/>
        <v>44</v>
      </c>
      <c r="H74" s="2" t="s">
        <v>8</v>
      </c>
      <c r="I74" s="2" t="s">
        <v>139</v>
      </c>
      <c r="J74" s="2">
        <v>1</v>
      </c>
      <c r="P74" s="2" t="s">
        <v>151</v>
      </c>
      <c r="Y74" s="12"/>
      <c r="Z74" s="7"/>
    </row>
    <row r="75" spans="1:26" ht="15.5" x14ac:dyDescent="0.35">
      <c r="B75" s="16"/>
      <c r="C75" s="2" t="s">
        <v>76</v>
      </c>
      <c r="D75" s="4">
        <v>43494</v>
      </c>
      <c r="E75" s="4">
        <v>43506</v>
      </c>
      <c r="F75" s="3" t="str">
        <f t="shared" si="3"/>
        <v>No</v>
      </c>
      <c r="G75" s="2">
        <f t="shared" si="2"/>
        <v>12</v>
      </c>
      <c r="H75" s="2" t="s">
        <v>8</v>
      </c>
      <c r="I75" s="2" t="s">
        <v>139</v>
      </c>
      <c r="J75" s="2">
        <v>2</v>
      </c>
      <c r="P75" s="10" t="s">
        <v>147</v>
      </c>
      <c r="Q75" s="10" t="s">
        <v>133</v>
      </c>
      <c r="R75" s="10" t="s">
        <v>150</v>
      </c>
      <c r="Y75" s="6"/>
      <c r="Z75" s="7"/>
    </row>
    <row r="76" spans="1:26" ht="15" customHeight="1" x14ac:dyDescent="0.35">
      <c r="B76" s="16"/>
      <c r="C76" s="2" t="s">
        <v>78</v>
      </c>
      <c r="D76" s="4">
        <v>43494</v>
      </c>
      <c r="E76" s="4">
        <v>43508</v>
      </c>
      <c r="F76" s="3" t="str">
        <f t="shared" si="3"/>
        <v>No</v>
      </c>
      <c r="G76" s="20">
        <f t="shared" si="2"/>
        <v>14</v>
      </c>
      <c r="H76" s="2" t="s">
        <v>8</v>
      </c>
      <c r="I76" s="2" t="s">
        <v>142</v>
      </c>
      <c r="J76" s="2">
        <v>1</v>
      </c>
      <c r="P76" s="2" t="s">
        <v>77</v>
      </c>
      <c r="Q76" s="2">
        <v>114</v>
      </c>
      <c r="R76" s="2">
        <v>1712</v>
      </c>
      <c r="Y76" s="12"/>
      <c r="Z76" s="7"/>
    </row>
    <row r="77" spans="1:26" ht="15" customHeight="1" x14ac:dyDescent="0.35">
      <c r="B77" s="16"/>
      <c r="C77" s="2" t="s">
        <v>79</v>
      </c>
      <c r="D77" s="4">
        <v>43494</v>
      </c>
      <c r="E77" s="4">
        <v>43507</v>
      </c>
      <c r="F77" s="3" t="str">
        <f t="shared" si="3"/>
        <v>No</v>
      </c>
      <c r="G77" s="1">
        <f t="shared" si="2"/>
        <v>13</v>
      </c>
      <c r="H77" s="2" t="s">
        <v>8</v>
      </c>
      <c r="I77" s="2" t="s">
        <v>140</v>
      </c>
      <c r="J77" s="2">
        <v>2</v>
      </c>
      <c r="P77" s="2" t="s">
        <v>148</v>
      </c>
      <c r="Q77" s="2">
        <v>100</v>
      </c>
      <c r="R77" s="2">
        <v>1491</v>
      </c>
      <c r="Y77" s="12"/>
      <c r="Z77" s="7"/>
    </row>
    <row r="78" spans="1:26" ht="15" customHeight="1" x14ac:dyDescent="0.35">
      <c r="B78" s="16"/>
      <c r="C78" s="2" t="s">
        <v>80</v>
      </c>
      <c r="D78" s="4">
        <v>43494</v>
      </c>
      <c r="E78" s="4">
        <v>43506</v>
      </c>
      <c r="F78" s="3" t="str">
        <f t="shared" si="3"/>
        <v>No</v>
      </c>
      <c r="G78" s="1">
        <f t="shared" si="2"/>
        <v>12</v>
      </c>
      <c r="H78" s="2" t="s">
        <v>8</v>
      </c>
      <c r="I78" s="2" t="s">
        <v>140</v>
      </c>
      <c r="J78" s="2">
        <v>3</v>
      </c>
      <c r="P78" s="2" t="s">
        <v>149</v>
      </c>
      <c r="Q78" s="2">
        <v>100</v>
      </c>
      <c r="R78" s="2">
        <v>1700</v>
      </c>
      <c r="Y78" s="12"/>
      <c r="Z78" s="7"/>
    </row>
    <row r="79" spans="1:26" ht="15.5" x14ac:dyDescent="0.35">
      <c r="B79" s="16"/>
      <c r="C79" s="2" t="s">
        <v>81</v>
      </c>
      <c r="D79" s="4">
        <v>43494</v>
      </c>
      <c r="E79" s="4">
        <v>43543</v>
      </c>
      <c r="F79" s="3" t="str">
        <f t="shared" si="3"/>
        <v>Yes</v>
      </c>
      <c r="G79" s="1">
        <f t="shared" si="2"/>
        <v>49</v>
      </c>
      <c r="H79" s="2" t="s">
        <v>8</v>
      </c>
      <c r="I79" s="2" t="s">
        <v>144</v>
      </c>
      <c r="J79" s="2">
        <v>2</v>
      </c>
      <c r="Y79" s="6"/>
      <c r="Z79" s="9"/>
    </row>
    <row r="80" spans="1:26" x14ac:dyDescent="0.35">
      <c r="B80" s="16"/>
      <c r="C80" s="2" t="s">
        <v>82</v>
      </c>
      <c r="D80" s="4">
        <v>43494</v>
      </c>
      <c r="E80" s="4">
        <v>43495</v>
      </c>
      <c r="F80" s="3" t="str">
        <f t="shared" si="3"/>
        <v>No</v>
      </c>
      <c r="G80" s="20">
        <f t="shared" si="2"/>
        <v>1</v>
      </c>
      <c r="H80" s="2" t="s">
        <v>8</v>
      </c>
      <c r="I80" s="2" t="s">
        <v>141</v>
      </c>
      <c r="J80" s="2">
        <v>1</v>
      </c>
    </row>
    <row r="81" spans="2:11" x14ac:dyDescent="0.35">
      <c r="B81" s="16"/>
      <c r="C81" s="2" t="s">
        <v>83</v>
      </c>
      <c r="D81" s="4">
        <v>43494</v>
      </c>
      <c r="E81" s="4">
        <v>43506</v>
      </c>
      <c r="F81" s="3" t="str">
        <f t="shared" si="3"/>
        <v>No</v>
      </c>
      <c r="G81" s="20">
        <f t="shared" si="2"/>
        <v>12</v>
      </c>
      <c r="H81" s="2" t="s">
        <v>8</v>
      </c>
      <c r="I81" s="2" t="s">
        <v>139</v>
      </c>
      <c r="J81" s="2">
        <v>1</v>
      </c>
    </row>
    <row r="82" spans="2:11" x14ac:dyDescent="0.35">
      <c r="B82" s="16"/>
      <c r="C82" s="2" t="s">
        <v>84</v>
      </c>
      <c r="D82" s="4">
        <v>43494</v>
      </c>
      <c r="E82" s="4">
        <v>43506</v>
      </c>
      <c r="F82" s="3" t="str">
        <f t="shared" si="3"/>
        <v>No</v>
      </c>
      <c r="G82" s="20">
        <f t="shared" si="2"/>
        <v>12</v>
      </c>
      <c r="H82" s="2" t="s">
        <v>8</v>
      </c>
      <c r="I82" s="2" t="s">
        <v>142</v>
      </c>
      <c r="J82" s="2">
        <v>1</v>
      </c>
    </row>
    <row r="83" spans="2:11" x14ac:dyDescent="0.35">
      <c r="B83" s="16"/>
      <c r="C83" s="2" t="s">
        <v>85</v>
      </c>
      <c r="D83" s="4">
        <v>43494</v>
      </c>
      <c r="E83" s="4">
        <v>43508</v>
      </c>
      <c r="F83" s="3" t="str">
        <f t="shared" si="3"/>
        <v>No</v>
      </c>
      <c r="G83" s="20">
        <f t="shared" ref="G83:G133" si="4">IF(DATEDIF(D83,(E83),"d")=0,"",DATEDIF(D83,(E83),"d"))</f>
        <v>14</v>
      </c>
      <c r="H83" s="2" t="s">
        <v>8</v>
      </c>
      <c r="I83" s="2" t="s">
        <v>142</v>
      </c>
      <c r="J83" s="2">
        <v>2</v>
      </c>
    </row>
    <row r="84" spans="2:11" x14ac:dyDescent="0.35">
      <c r="B84" s="31"/>
      <c r="C84" s="26"/>
      <c r="D84" s="30"/>
      <c r="E84" s="30"/>
      <c r="F84" s="25"/>
      <c r="G84" s="29"/>
      <c r="H84" s="26"/>
      <c r="I84" s="26"/>
      <c r="J84" s="26"/>
      <c r="K84" s="26"/>
    </row>
    <row r="85" spans="2:11" x14ac:dyDescent="0.35">
      <c r="B85" s="16">
        <v>8</v>
      </c>
      <c r="C85" s="2" t="s">
        <v>86</v>
      </c>
      <c r="D85" s="4">
        <v>43508</v>
      </c>
      <c r="E85" s="4">
        <v>43543</v>
      </c>
      <c r="F85" s="3" t="str">
        <f t="shared" si="3"/>
        <v>Yes</v>
      </c>
      <c r="G85" s="20">
        <f t="shared" si="4"/>
        <v>35</v>
      </c>
      <c r="H85" s="2" t="s">
        <v>6</v>
      </c>
      <c r="I85" s="2" t="s">
        <v>142</v>
      </c>
      <c r="J85" s="2">
        <v>2</v>
      </c>
    </row>
    <row r="86" spans="2:11" x14ac:dyDescent="0.35">
      <c r="B86" s="16"/>
      <c r="C86" s="2" t="s">
        <v>87</v>
      </c>
      <c r="D86" s="4">
        <v>43508</v>
      </c>
      <c r="E86" s="4">
        <v>43543</v>
      </c>
      <c r="F86" s="3" t="str">
        <f t="shared" si="3"/>
        <v>Yes</v>
      </c>
      <c r="G86" s="1">
        <f t="shared" si="4"/>
        <v>35</v>
      </c>
      <c r="H86" s="2" t="s">
        <v>6</v>
      </c>
      <c r="I86" s="2" t="s">
        <v>141</v>
      </c>
      <c r="J86" s="2">
        <v>1</v>
      </c>
    </row>
    <row r="87" spans="2:11" x14ac:dyDescent="0.35">
      <c r="B87" s="16"/>
      <c r="C87" s="2" t="s">
        <v>88</v>
      </c>
      <c r="D87" s="4">
        <v>43508</v>
      </c>
      <c r="E87" s="4">
        <v>43543</v>
      </c>
      <c r="F87" s="3" t="str">
        <f t="shared" si="3"/>
        <v>Yes</v>
      </c>
      <c r="G87" s="2">
        <f t="shared" si="4"/>
        <v>35</v>
      </c>
      <c r="H87" s="2" t="s">
        <v>6</v>
      </c>
      <c r="I87" s="2" t="s">
        <v>144</v>
      </c>
      <c r="J87" s="2">
        <v>2</v>
      </c>
    </row>
    <row r="88" spans="2:11" x14ac:dyDescent="0.35">
      <c r="B88" s="16"/>
      <c r="C88" s="2" t="s">
        <v>89</v>
      </c>
      <c r="D88" s="4">
        <v>43508</v>
      </c>
      <c r="E88" s="4">
        <v>43543</v>
      </c>
      <c r="F88" s="3" t="str">
        <f t="shared" si="3"/>
        <v>Yes</v>
      </c>
      <c r="G88" s="2">
        <f t="shared" si="4"/>
        <v>35</v>
      </c>
      <c r="H88" s="2" t="s">
        <v>6</v>
      </c>
      <c r="I88" s="2" t="s">
        <v>139</v>
      </c>
      <c r="J88" s="2">
        <v>2</v>
      </c>
    </row>
    <row r="89" spans="2:11" x14ac:dyDescent="0.35">
      <c r="B89" s="16"/>
      <c r="C89" s="2" t="s">
        <v>90</v>
      </c>
      <c r="D89" s="4">
        <v>43508</v>
      </c>
      <c r="E89" s="4">
        <v>43543</v>
      </c>
      <c r="F89" s="3" t="str">
        <f t="shared" si="3"/>
        <v>Yes</v>
      </c>
      <c r="G89" s="20">
        <f t="shared" si="4"/>
        <v>35</v>
      </c>
      <c r="H89" s="2" t="s">
        <v>6</v>
      </c>
      <c r="I89" s="2" t="s">
        <v>139</v>
      </c>
      <c r="J89" s="2">
        <v>1</v>
      </c>
    </row>
    <row r="90" spans="2:11" x14ac:dyDescent="0.35">
      <c r="B90" s="16"/>
      <c r="C90" s="2" t="s">
        <v>91</v>
      </c>
      <c r="D90" s="4">
        <v>43508</v>
      </c>
      <c r="E90" s="4">
        <v>43511</v>
      </c>
      <c r="F90" s="3" t="str">
        <f t="shared" si="3"/>
        <v>No</v>
      </c>
      <c r="G90" s="1">
        <f t="shared" si="4"/>
        <v>3</v>
      </c>
      <c r="H90" s="2" t="s">
        <v>146</v>
      </c>
      <c r="I90" s="2" t="s">
        <v>141</v>
      </c>
      <c r="J90" s="2">
        <v>1</v>
      </c>
    </row>
    <row r="91" spans="2:11" x14ac:dyDescent="0.35">
      <c r="B91" s="16"/>
      <c r="C91" s="2" t="s">
        <v>92</v>
      </c>
      <c r="D91" s="4">
        <v>43508</v>
      </c>
      <c r="E91" s="4">
        <v>43521</v>
      </c>
      <c r="F91" s="3" t="str">
        <f t="shared" si="3"/>
        <v>No</v>
      </c>
      <c r="G91" s="1">
        <f t="shared" si="4"/>
        <v>13</v>
      </c>
      <c r="H91" s="2" t="s">
        <v>146</v>
      </c>
      <c r="I91" s="2" t="s">
        <v>139</v>
      </c>
      <c r="J91" s="2">
        <v>1</v>
      </c>
    </row>
    <row r="92" spans="2:11" x14ac:dyDescent="0.35">
      <c r="B92" s="16"/>
      <c r="C92" s="2" t="s">
        <v>93</v>
      </c>
      <c r="D92" s="4">
        <v>43508</v>
      </c>
      <c r="E92" s="4">
        <v>43542</v>
      </c>
      <c r="F92" s="3" t="str">
        <f t="shared" si="3"/>
        <v>Yes</v>
      </c>
      <c r="G92" s="1">
        <f t="shared" si="4"/>
        <v>34</v>
      </c>
      <c r="H92" s="2" t="s">
        <v>146</v>
      </c>
      <c r="I92" s="2" t="s">
        <v>144</v>
      </c>
      <c r="J92" s="2">
        <v>3</v>
      </c>
    </row>
    <row r="93" spans="2:11" x14ac:dyDescent="0.35">
      <c r="B93" s="16"/>
      <c r="C93" s="2" t="s">
        <v>94</v>
      </c>
      <c r="D93" s="4">
        <v>43508</v>
      </c>
      <c r="E93" s="4">
        <v>43519</v>
      </c>
      <c r="F93" s="3" t="str">
        <f t="shared" si="3"/>
        <v>No</v>
      </c>
      <c r="G93" s="20">
        <f t="shared" si="4"/>
        <v>11</v>
      </c>
      <c r="H93" s="2" t="s">
        <v>146</v>
      </c>
      <c r="I93" s="2" t="s">
        <v>144</v>
      </c>
      <c r="J93" s="2">
        <v>2</v>
      </c>
    </row>
    <row r="94" spans="2:11" x14ac:dyDescent="0.35">
      <c r="B94" s="16"/>
      <c r="C94" s="2" t="s">
        <v>95</v>
      </c>
      <c r="D94" s="4">
        <v>43508</v>
      </c>
      <c r="E94" s="4">
        <v>43519</v>
      </c>
      <c r="F94" s="3" t="str">
        <f t="shared" si="3"/>
        <v>No</v>
      </c>
      <c r="G94" s="20">
        <f t="shared" si="4"/>
        <v>11</v>
      </c>
      <c r="H94" s="2" t="s">
        <v>146</v>
      </c>
      <c r="I94" s="2" t="s">
        <v>144</v>
      </c>
      <c r="J94" s="2">
        <v>2</v>
      </c>
    </row>
    <row r="95" spans="2:11" x14ac:dyDescent="0.35">
      <c r="B95" s="16"/>
      <c r="C95" s="2" t="s">
        <v>96</v>
      </c>
      <c r="D95" s="4">
        <v>43508</v>
      </c>
      <c r="E95" s="4">
        <v>43519</v>
      </c>
      <c r="F95" s="3" t="str">
        <f t="shared" si="3"/>
        <v>No</v>
      </c>
      <c r="G95" s="20">
        <f t="shared" si="4"/>
        <v>11</v>
      </c>
      <c r="H95" s="2" t="s">
        <v>146</v>
      </c>
      <c r="I95" s="2" t="s">
        <v>144</v>
      </c>
      <c r="J95" s="2">
        <v>2</v>
      </c>
    </row>
    <row r="96" spans="2:11" x14ac:dyDescent="0.35">
      <c r="B96" s="16"/>
      <c r="C96" s="2" t="s">
        <v>97</v>
      </c>
      <c r="D96" s="4">
        <v>43508</v>
      </c>
      <c r="E96" s="4">
        <v>43542</v>
      </c>
      <c r="F96" s="3" t="str">
        <f t="shared" si="3"/>
        <v>Yes</v>
      </c>
      <c r="G96" s="20">
        <f t="shared" si="4"/>
        <v>34</v>
      </c>
      <c r="H96" s="2" t="s">
        <v>146</v>
      </c>
      <c r="I96" s="2" t="s">
        <v>144</v>
      </c>
      <c r="J96" s="2">
        <v>1</v>
      </c>
    </row>
    <row r="97" spans="2:11" x14ac:dyDescent="0.35">
      <c r="B97" s="31"/>
      <c r="C97" s="26"/>
      <c r="D97" s="30"/>
      <c r="E97" s="30"/>
      <c r="F97" s="25"/>
      <c r="G97" s="29"/>
      <c r="H97" s="26"/>
      <c r="I97" s="26"/>
      <c r="J97" s="26"/>
      <c r="K97" s="26"/>
    </row>
    <row r="98" spans="2:11" x14ac:dyDescent="0.35">
      <c r="B98" s="16">
        <v>9</v>
      </c>
      <c r="C98" s="2" t="s">
        <v>98</v>
      </c>
      <c r="D98" s="4">
        <v>43522</v>
      </c>
      <c r="E98" s="4">
        <v>43553</v>
      </c>
      <c r="F98" s="3" t="str">
        <f t="shared" si="3"/>
        <v>Yes</v>
      </c>
      <c r="G98" s="20">
        <f t="shared" si="4"/>
        <v>31</v>
      </c>
      <c r="I98" s="2" t="s">
        <v>141</v>
      </c>
      <c r="J98" s="2">
        <v>5</v>
      </c>
    </row>
    <row r="99" spans="2:11" x14ac:dyDescent="0.35">
      <c r="B99" s="16"/>
      <c r="C99" s="2" t="s">
        <v>99</v>
      </c>
      <c r="D99" s="4">
        <v>43522</v>
      </c>
      <c r="E99" s="4">
        <v>43551</v>
      </c>
      <c r="F99" s="3" t="str">
        <f t="shared" si="3"/>
        <v>Yes</v>
      </c>
      <c r="G99" s="1">
        <f t="shared" si="4"/>
        <v>29</v>
      </c>
      <c r="H99" s="2" t="s">
        <v>8</v>
      </c>
      <c r="I99" s="2" t="s">
        <v>142</v>
      </c>
      <c r="J99" s="2">
        <v>1</v>
      </c>
    </row>
    <row r="100" spans="2:11" x14ac:dyDescent="0.35">
      <c r="B100" s="16"/>
      <c r="C100" s="2" t="s">
        <v>100</v>
      </c>
      <c r="D100" s="4">
        <v>43522</v>
      </c>
      <c r="E100" s="4">
        <v>43553</v>
      </c>
      <c r="F100" s="3" t="str">
        <f t="shared" si="3"/>
        <v>Yes</v>
      </c>
      <c r="G100" s="2">
        <f t="shared" si="4"/>
        <v>31</v>
      </c>
      <c r="I100" s="2" t="s">
        <v>144</v>
      </c>
      <c r="J100" s="2">
        <v>2</v>
      </c>
    </row>
    <row r="101" spans="2:11" x14ac:dyDescent="0.35">
      <c r="B101" s="16"/>
      <c r="C101" s="2" t="s">
        <v>101</v>
      </c>
      <c r="D101" s="4">
        <v>43522</v>
      </c>
      <c r="E101" s="4">
        <v>43542</v>
      </c>
      <c r="F101" s="3" t="str">
        <f t="shared" si="3"/>
        <v>Yes</v>
      </c>
      <c r="G101" s="2">
        <f t="shared" si="4"/>
        <v>20</v>
      </c>
      <c r="H101" s="2" t="s">
        <v>8</v>
      </c>
      <c r="I101" s="2" t="s">
        <v>139</v>
      </c>
      <c r="J101" s="2">
        <v>1</v>
      </c>
    </row>
    <row r="102" spans="2:11" x14ac:dyDescent="0.35">
      <c r="B102" s="16"/>
      <c r="C102" s="2" t="s">
        <v>102</v>
      </c>
      <c r="D102" s="4">
        <v>43522</v>
      </c>
      <c r="E102" s="4">
        <v>43543</v>
      </c>
      <c r="F102" s="3" t="str">
        <f t="shared" si="3"/>
        <v>Yes</v>
      </c>
      <c r="G102" s="20">
        <f t="shared" si="4"/>
        <v>21</v>
      </c>
      <c r="H102" s="2" t="s">
        <v>8</v>
      </c>
      <c r="I102" s="2" t="s">
        <v>139</v>
      </c>
      <c r="J102" s="2">
        <v>1</v>
      </c>
    </row>
    <row r="103" spans="2:11" x14ac:dyDescent="0.35">
      <c r="B103" s="16"/>
      <c r="C103" s="2" t="s">
        <v>103</v>
      </c>
      <c r="D103" s="4">
        <v>43522</v>
      </c>
      <c r="E103" s="4">
        <v>43543</v>
      </c>
      <c r="F103" s="3" t="str">
        <f t="shared" si="3"/>
        <v>Yes</v>
      </c>
      <c r="G103" s="1">
        <f t="shared" si="4"/>
        <v>21</v>
      </c>
      <c r="H103" s="2" t="s">
        <v>8</v>
      </c>
      <c r="I103" s="2" t="s">
        <v>141</v>
      </c>
      <c r="J103" s="2">
        <v>1</v>
      </c>
    </row>
    <row r="104" spans="2:11" x14ac:dyDescent="0.35">
      <c r="B104" s="16"/>
      <c r="C104" s="2" t="s">
        <v>104</v>
      </c>
      <c r="D104" s="4">
        <v>43522</v>
      </c>
      <c r="E104" s="4">
        <v>43543</v>
      </c>
      <c r="F104" s="3" t="str">
        <f t="shared" si="3"/>
        <v>Yes</v>
      </c>
      <c r="G104" s="1">
        <f t="shared" si="4"/>
        <v>21</v>
      </c>
      <c r="H104" s="2" t="s">
        <v>8</v>
      </c>
      <c r="I104" s="2" t="s">
        <v>142</v>
      </c>
      <c r="J104" s="2">
        <v>1</v>
      </c>
    </row>
    <row r="105" spans="2:11" x14ac:dyDescent="0.35">
      <c r="B105" s="31"/>
      <c r="C105" s="26"/>
      <c r="D105" s="30"/>
      <c r="E105" s="30"/>
      <c r="F105" s="25"/>
      <c r="G105" s="24"/>
      <c r="H105" s="26"/>
      <c r="I105" s="26"/>
      <c r="J105" s="26"/>
      <c r="K105" s="26"/>
    </row>
    <row r="106" spans="2:11" x14ac:dyDescent="0.35">
      <c r="B106" s="16">
        <v>10</v>
      </c>
      <c r="C106" s="2" t="s">
        <v>105</v>
      </c>
      <c r="D106" s="4">
        <v>43543</v>
      </c>
      <c r="E106" s="4">
        <v>43553</v>
      </c>
      <c r="F106" s="3" t="str">
        <f t="shared" si="3"/>
        <v>No</v>
      </c>
      <c r="G106" s="1">
        <f t="shared" si="4"/>
        <v>10</v>
      </c>
      <c r="I106" s="2" t="s">
        <v>145</v>
      </c>
      <c r="J106" s="2">
        <v>1</v>
      </c>
    </row>
    <row r="107" spans="2:11" x14ac:dyDescent="0.35">
      <c r="B107" s="16"/>
      <c r="C107" s="2" t="s">
        <v>106</v>
      </c>
      <c r="D107" s="4">
        <v>43543</v>
      </c>
      <c r="E107" s="4">
        <v>43553</v>
      </c>
      <c r="F107" s="3" t="str">
        <f t="shared" si="3"/>
        <v>No</v>
      </c>
      <c r="G107" s="20">
        <f t="shared" si="4"/>
        <v>10</v>
      </c>
      <c r="I107" s="2" t="s">
        <v>140</v>
      </c>
      <c r="J107" s="2">
        <v>1</v>
      </c>
    </row>
    <row r="108" spans="2:11" x14ac:dyDescent="0.35">
      <c r="B108" s="16"/>
      <c r="C108" s="2" t="s">
        <v>107</v>
      </c>
      <c r="D108" s="4">
        <v>43543</v>
      </c>
      <c r="E108" s="4">
        <v>43553</v>
      </c>
      <c r="F108" s="3" t="str">
        <f t="shared" si="3"/>
        <v>No</v>
      </c>
      <c r="G108" s="20">
        <f t="shared" si="4"/>
        <v>10</v>
      </c>
      <c r="I108" s="2" t="s">
        <v>144</v>
      </c>
      <c r="J108" s="2">
        <v>1</v>
      </c>
    </row>
    <row r="109" spans="2:11" x14ac:dyDescent="0.35">
      <c r="B109" s="16"/>
      <c r="C109" s="2" t="s">
        <v>108</v>
      </c>
      <c r="D109" s="4">
        <v>43543</v>
      </c>
      <c r="E109" s="4">
        <v>43553</v>
      </c>
      <c r="F109" s="3" t="str">
        <f t="shared" si="3"/>
        <v>No</v>
      </c>
      <c r="G109" s="20">
        <f t="shared" si="4"/>
        <v>10</v>
      </c>
      <c r="I109" s="2" t="s">
        <v>145</v>
      </c>
      <c r="J109" s="2">
        <v>1</v>
      </c>
    </row>
    <row r="110" spans="2:11" x14ac:dyDescent="0.35">
      <c r="B110" s="16"/>
      <c r="C110" s="2" t="s">
        <v>109</v>
      </c>
      <c r="D110" s="4">
        <v>43543</v>
      </c>
      <c r="E110" s="4">
        <v>43553</v>
      </c>
      <c r="F110" s="3" t="str">
        <f t="shared" si="3"/>
        <v>No</v>
      </c>
      <c r="G110" s="20">
        <f t="shared" si="4"/>
        <v>10</v>
      </c>
      <c r="I110" s="2" t="s">
        <v>142</v>
      </c>
      <c r="J110" s="2">
        <v>1</v>
      </c>
    </row>
    <row r="111" spans="2:11" x14ac:dyDescent="0.35">
      <c r="B111" s="16"/>
      <c r="C111" s="2" t="s">
        <v>110</v>
      </c>
      <c r="D111" s="4">
        <v>43543</v>
      </c>
      <c r="E111" s="4">
        <v>43553</v>
      </c>
      <c r="F111" s="3" t="str">
        <f t="shared" si="3"/>
        <v>No</v>
      </c>
      <c r="G111" s="20">
        <f t="shared" si="4"/>
        <v>10</v>
      </c>
      <c r="I111" s="2" t="s">
        <v>144</v>
      </c>
      <c r="J111" s="2">
        <v>1</v>
      </c>
    </row>
    <row r="112" spans="2:11" x14ac:dyDescent="0.35">
      <c r="B112" s="16"/>
      <c r="C112" s="2" t="s">
        <v>111</v>
      </c>
      <c r="D112" s="4">
        <v>43543</v>
      </c>
      <c r="E112" s="4">
        <v>43553</v>
      </c>
      <c r="F112" s="3" t="str">
        <f t="shared" si="3"/>
        <v>No</v>
      </c>
      <c r="G112" s="1">
        <f t="shared" si="4"/>
        <v>10</v>
      </c>
      <c r="I112" s="2" t="s">
        <v>144</v>
      </c>
      <c r="J112" s="2">
        <v>1</v>
      </c>
    </row>
    <row r="113" spans="2:10" x14ac:dyDescent="0.35">
      <c r="B113" s="16"/>
      <c r="C113" s="2" t="s">
        <v>112</v>
      </c>
      <c r="D113" s="4">
        <v>43543</v>
      </c>
      <c r="E113" s="4">
        <v>43553</v>
      </c>
      <c r="F113" s="3" t="str">
        <f t="shared" si="3"/>
        <v>No</v>
      </c>
      <c r="G113" s="2">
        <f t="shared" si="4"/>
        <v>10</v>
      </c>
      <c r="H113" s="2" t="s">
        <v>8</v>
      </c>
      <c r="I113" s="2" t="s">
        <v>144</v>
      </c>
      <c r="J113" s="2">
        <v>2</v>
      </c>
    </row>
    <row r="114" spans="2:10" x14ac:dyDescent="0.35">
      <c r="B114" s="16"/>
      <c r="C114" s="2" t="s">
        <v>113</v>
      </c>
      <c r="D114" s="4">
        <v>43543</v>
      </c>
      <c r="E114" s="4">
        <v>43553</v>
      </c>
      <c r="F114" s="3" t="str">
        <f t="shared" si="3"/>
        <v>No</v>
      </c>
      <c r="G114" s="2">
        <f t="shared" si="4"/>
        <v>10</v>
      </c>
      <c r="I114" s="2" t="s">
        <v>144</v>
      </c>
      <c r="J114" s="2">
        <v>1</v>
      </c>
    </row>
    <row r="115" spans="2:10" x14ac:dyDescent="0.35">
      <c r="B115" s="16"/>
      <c r="C115" s="2" t="s">
        <v>114</v>
      </c>
      <c r="D115" s="4">
        <v>43543</v>
      </c>
      <c r="E115" s="4">
        <v>43553</v>
      </c>
      <c r="F115" s="3" t="str">
        <f t="shared" si="3"/>
        <v>No</v>
      </c>
      <c r="G115" s="20">
        <f t="shared" si="4"/>
        <v>10</v>
      </c>
      <c r="H115" s="2" t="s">
        <v>8</v>
      </c>
      <c r="I115" s="2" t="s">
        <v>144</v>
      </c>
      <c r="J115" s="2">
        <v>1</v>
      </c>
    </row>
    <row r="116" spans="2:10" x14ac:dyDescent="0.35">
      <c r="B116" s="16"/>
      <c r="C116" s="2" t="s">
        <v>115</v>
      </c>
      <c r="D116" s="4">
        <v>43543</v>
      </c>
      <c r="E116" s="4">
        <v>43553</v>
      </c>
      <c r="F116" s="3" t="str">
        <f t="shared" si="3"/>
        <v>No</v>
      </c>
      <c r="G116" s="1">
        <f t="shared" si="4"/>
        <v>10</v>
      </c>
      <c r="I116" s="2" t="s">
        <v>144</v>
      </c>
      <c r="J116" s="2">
        <v>1</v>
      </c>
    </row>
    <row r="117" spans="2:10" x14ac:dyDescent="0.35">
      <c r="B117" s="16"/>
      <c r="C117" s="2" t="s">
        <v>116</v>
      </c>
      <c r="D117" s="4">
        <v>43543</v>
      </c>
      <c r="E117" s="4">
        <v>43553</v>
      </c>
      <c r="F117" s="3" t="str">
        <f t="shared" si="3"/>
        <v>No</v>
      </c>
      <c r="G117" s="1">
        <f t="shared" si="4"/>
        <v>10</v>
      </c>
      <c r="H117" s="2" t="s">
        <v>8</v>
      </c>
      <c r="I117" s="2" t="s">
        <v>142</v>
      </c>
      <c r="J117" s="2">
        <v>1</v>
      </c>
    </row>
    <row r="118" spans="2:10" x14ac:dyDescent="0.35">
      <c r="B118" s="16"/>
      <c r="C118" s="2" t="s">
        <v>117</v>
      </c>
      <c r="D118" s="4">
        <v>43543</v>
      </c>
      <c r="E118" s="4">
        <v>43553</v>
      </c>
      <c r="F118" s="3" t="str">
        <f t="shared" si="3"/>
        <v>No</v>
      </c>
      <c r="G118" s="1">
        <f t="shared" si="4"/>
        <v>10</v>
      </c>
      <c r="H118" s="2" t="s">
        <v>8</v>
      </c>
      <c r="I118" s="2" t="s">
        <v>142</v>
      </c>
      <c r="J118" s="2">
        <v>1</v>
      </c>
    </row>
    <row r="119" spans="2:10" x14ac:dyDescent="0.35">
      <c r="B119" s="16"/>
      <c r="C119" s="2" t="s">
        <v>118</v>
      </c>
      <c r="D119" s="4">
        <v>43543</v>
      </c>
      <c r="E119" s="4">
        <v>43553</v>
      </c>
      <c r="F119" s="3" t="str">
        <f t="shared" si="3"/>
        <v>No</v>
      </c>
      <c r="G119" s="20">
        <f t="shared" si="4"/>
        <v>10</v>
      </c>
      <c r="I119" s="2" t="s">
        <v>141</v>
      </c>
      <c r="J119" s="2">
        <v>1</v>
      </c>
    </row>
    <row r="120" spans="2:10" x14ac:dyDescent="0.35">
      <c r="B120" s="16"/>
      <c r="C120" s="2" t="s">
        <v>119</v>
      </c>
      <c r="D120" s="4">
        <v>43543</v>
      </c>
      <c r="E120" s="4">
        <v>43553</v>
      </c>
      <c r="F120" s="3" t="str">
        <f t="shared" si="3"/>
        <v>No</v>
      </c>
      <c r="G120" s="20">
        <f t="shared" si="4"/>
        <v>10</v>
      </c>
      <c r="I120" s="2" t="s">
        <v>141</v>
      </c>
      <c r="J120" s="2">
        <v>1</v>
      </c>
    </row>
    <row r="121" spans="2:10" x14ac:dyDescent="0.35">
      <c r="B121" s="16"/>
      <c r="C121" s="2" t="s">
        <v>120</v>
      </c>
      <c r="D121" s="4">
        <v>43543</v>
      </c>
      <c r="E121" s="4">
        <v>43553</v>
      </c>
      <c r="F121" s="3" t="str">
        <f t="shared" si="3"/>
        <v>No</v>
      </c>
      <c r="G121" s="20">
        <f t="shared" si="4"/>
        <v>10</v>
      </c>
      <c r="H121" s="2" t="s">
        <v>8</v>
      </c>
      <c r="I121" s="2" t="s">
        <v>145</v>
      </c>
      <c r="J121" s="2">
        <v>1</v>
      </c>
    </row>
    <row r="122" spans="2:10" x14ac:dyDescent="0.35">
      <c r="B122" s="16"/>
      <c r="C122" s="2" t="s">
        <v>121</v>
      </c>
      <c r="D122" s="4">
        <v>43543</v>
      </c>
      <c r="E122" s="4">
        <v>43543</v>
      </c>
      <c r="F122" s="3" t="str">
        <f t="shared" si="3"/>
        <v>No</v>
      </c>
      <c r="G122" s="20">
        <v>1</v>
      </c>
      <c r="H122" s="2" t="s">
        <v>8</v>
      </c>
      <c r="I122" s="2" t="s">
        <v>141</v>
      </c>
      <c r="J122" s="2">
        <v>1</v>
      </c>
    </row>
    <row r="123" spans="2:10" x14ac:dyDescent="0.35">
      <c r="B123" s="16"/>
      <c r="C123" s="2" t="s">
        <v>122</v>
      </c>
      <c r="D123" s="4">
        <v>43543</v>
      </c>
      <c r="E123" s="4">
        <v>43549</v>
      </c>
      <c r="F123" s="3" t="str">
        <f t="shared" si="3"/>
        <v>No</v>
      </c>
      <c r="G123" s="20">
        <f t="shared" si="4"/>
        <v>6</v>
      </c>
      <c r="H123" s="2" t="s">
        <v>8</v>
      </c>
      <c r="I123" s="2" t="s">
        <v>139</v>
      </c>
      <c r="J123" s="2">
        <v>1</v>
      </c>
    </row>
    <row r="124" spans="2:10" x14ac:dyDescent="0.35">
      <c r="B124" s="16"/>
      <c r="C124" s="2" t="s">
        <v>123</v>
      </c>
      <c r="D124" s="4">
        <v>43543</v>
      </c>
      <c r="E124" s="4">
        <v>43548</v>
      </c>
      <c r="F124" s="3" t="str">
        <f t="shared" si="3"/>
        <v>No</v>
      </c>
      <c r="G124" s="1">
        <f t="shared" si="4"/>
        <v>5</v>
      </c>
      <c r="H124" s="2" t="s">
        <v>8</v>
      </c>
      <c r="I124" s="2" t="s">
        <v>139</v>
      </c>
      <c r="J124" s="2">
        <v>1</v>
      </c>
    </row>
    <row r="125" spans="2:10" x14ac:dyDescent="0.35">
      <c r="B125" s="16"/>
      <c r="C125" s="2" t="s">
        <v>124</v>
      </c>
      <c r="D125" s="4">
        <v>43543</v>
      </c>
      <c r="E125" s="4">
        <v>43544</v>
      </c>
      <c r="F125" s="3" t="str">
        <f t="shared" si="3"/>
        <v>No</v>
      </c>
      <c r="G125" s="2">
        <f t="shared" si="4"/>
        <v>1</v>
      </c>
      <c r="H125" s="2" t="s">
        <v>8</v>
      </c>
      <c r="I125" s="2" t="s">
        <v>141</v>
      </c>
      <c r="J125" s="2">
        <v>1</v>
      </c>
    </row>
    <row r="126" spans="2:10" x14ac:dyDescent="0.35">
      <c r="B126" s="16"/>
      <c r="C126" s="2" t="s">
        <v>125</v>
      </c>
      <c r="D126" s="4">
        <v>43543</v>
      </c>
      <c r="E126" s="4">
        <v>43547</v>
      </c>
      <c r="F126" s="3" t="str">
        <f t="shared" si="3"/>
        <v>No</v>
      </c>
      <c r="G126" s="2">
        <f t="shared" si="4"/>
        <v>4</v>
      </c>
      <c r="H126" s="2" t="s">
        <v>8</v>
      </c>
      <c r="I126" s="2" t="s">
        <v>139</v>
      </c>
      <c r="J126" s="2">
        <v>1</v>
      </c>
    </row>
    <row r="127" spans="2:10" x14ac:dyDescent="0.35">
      <c r="B127" s="16"/>
      <c r="C127" s="2" t="s">
        <v>126</v>
      </c>
      <c r="D127" s="4">
        <v>43543</v>
      </c>
      <c r="E127" s="4">
        <v>43548</v>
      </c>
      <c r="F127" s="3" t="str">
        <f t="shared" si="3"/>
        <v>No</v>
      </c>
      <c r="G127" s="20">
        <f t="shared" si="4"/>
        <v>5</v>
      </c>
      <c r="H127" s="2" t="s">
        <v>8</v>
      </c>
      <c r="I127" s="2" t="s">
        <v>139</v>
      </c>
      <c r="J127" s="2">
        <v>1</v>
      </c>
    </row>
    <row r="128" spans="2:10" x14ac:dyDescent="0.35">
      <c r="B128" s="16"/>
      <c r="C128" s="2" t="s">
        <v>127</v>
      </c>
      <c r="D128" s="4">
        <v>43543</v>
      </c>
      <c r="E128" s="4">
        <v>43546</v>
      </c>
      <c r="F128" s="3" t="str">
        <f t="shared" si="3"/>
        <v>No</v>
      </c>
      <c r="G128" s="1">
        <f t="shared" si="4"/>
        <v>3</v>
      </c>
      <c r="H128" s="2" t="s">
        <v>8</v>
      </c>
      <c r="I128" s="2" t="s">
        <v>141</v>
      </c>
      <c r="J128" s="2">
        <v>1</v>
      </c>
    </row>
    <row r="129" spans="2:10" x14ac:dyDescent="0.35">
      <c r="B129" s="16"/>
      <c r="C129" s="2" t="s">
        <v>128</v>
      </c>
      <c r="D129" s="4">
        <v>43543</v>
      </c>
      <c r="E129" s="4">
        <v>43546</v>
      </c>
      <c r="F129" s="3" t="str">
        <f t="shared" si="3"/>
        <v>No</v>
      </c>
      <c r="G129" s="1">
        <f t="shared" si="4"/>
        <v>3</v>
      </c>
      <c r="H129" s="2" t="s">
        <v>8</v>
      </c>
      <c r="I129" s="2" t="s">
        <v>139</v>
      </c>
      <c r="J129" s="2">
        <v>1</v>
      </c>
    </row>
    <row r="130" spans="2:10" x14ac:dyDescent="0.35">
      <c r="B130" s="16"/>
      <c r="C130" s="2" t="s">
        <v>131</v>
      </c>
      <c r="D130" s="4">
        <v>43543</v>
      </c>
      <c r="E130" s="4">
        <v>43544</v>
      </c>
      <c r="F130" s="3" t="str">
        <f t="shared" si="3"/>
        <v>No</v>
      </c>
      <c r="G130" s="1">
        <f t="shared" si="4"/>
        <v>1</v>
      </c>
      <c r="H130" s="2" t="s">
        <v>8</v>
      </c>
      <c r="I130" s="2" t="s">
        <v>144</v>
      </c>
      <c r="J130" s="2">
        <v>1</v>
      </c>
    </row>
    <row r="131" spans="2:10" x14ac:dyDescent="0.35">
      <c r="B131" s="16"/>
      <c r="C131" s="2" t="s">
        <v>129</v>
      </c>
      <c r="D131" s="4">
        <v>43543</v>
      </c>
      <c r="E131" s="4">
        <v>43546</v>
      </c>
      <c r="F131" s="3" t="str">
        <f t="shared" si="3"/>
        <v>No</v>
      </c>
      <c r="G131" s="20">
        <f t="shared" si="4"/>
        <v>3</v>
      </c>
      <c r="H131" s="2" t="s">
        <v>8</v>
      </c>
      <c r="I131" s="2" t="s">
        <v>140</v>
      </c>
      <c r="J131" s="2">
        <v>1</v>
      </c>
    </row>
    <row r="132" spans="2:10" x14ac:dyDescent="0.35">
      <c r="B132" s="16"/>
      <c r="C132" s="2" t="s">
        <v>130</v>
      </c>
      <c r="D132" s="4">
        <v>43543</v>
      </c>
      <c r="E132" s="4">
        <v>43545</v>
      </c>
      <c r="F132" s="3" t="str">
        <f t="shared" si="3"/>
        <v>No</v>
      </c>
      <c r="G132" s="20">
        <f t="shared" si="4"/>
        <v>2</v>
      </c>
      <c r="H132" s="2" t="s">
        <v>8</v>
      </c>
      <c r="I132" s="2" t="s">
        <v>141</v>
      </c>
      <c r="J132" s="2">
        <v>2</v>
      </c>
    </row>
    <row r="133" spans="2:10" x14ac:dyDescent="0.35">
      <c r="B133" s="16"/>
      <c r="C133" s="2" t="s">
        <v>132</v>
      </c>
      <c r="D133" s="4">
        <v>43543</v>
      </c>
      <c r="E133" s="4">
        <v>43546</v>
      </c>
      <c r="F133" s="3" t="str">
        <f t="shared" ref="F133" si="5">IF(E133-D133&gt;14,"Yes","No")</f>
        <v>No</v>
      </c>
      <c r="G133" s="20">
        <f t="shared" si="4"/>
        <v>3</v>
      </c>
      <c r="H133" s="2" t="s">
        <v>8</v>
      </c>
      <c r="I133" s="2" t="s">
        <v>139</v>
      </c>
      <c r="J133" s="2">
        <v>1</v>
      </c>
    </row>
  </sheetData>
  <conditionalFormatting sqref="Q3:Q16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{0812B009-C1BB-4D81-97DD-66930E39E217}</x14:id>
        </ext>
      </extLst>
    </cfRule>
  </conditionalFormatting>
  <conditionalFormatting sqref="Q3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{679FF5D4-CFCE-4595-AB84-A573551049E6}</x14:id>
        </ext>
      </extLst>
    </cfRule>
  </conditionalFormatting>
  <conditionalFormatting sqref="Q34:Q37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{A8FBCAF3-F6C5-4A76-9B20-BAC0505621FB}</x14:id>
        </ext>
      </extLst>
    </cfRule>
  </conditionalFormatting>
  <conditionalFormatting sqref="Q34:Q4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{39624399-C6AC-4D6D-AE6D-E6BE1EDA1219}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olourGanttChart">
                <anchor moveWithCells="1" sizeWithCells="1">
                  <from>
                    <xdr:col>38</xdr:col>
                    <xdr:colOff>158750</xdr:colOff>
                    <xdr:row>2</xdr:row>
                    <xdr:rowOff>25400</xdr:rowOff>
                  </from>
                  <to>
                    <xdr:col>42</xdr:col>
                    <xdr:colOff>444500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calculateDaysAllocated">
                <anchor moveWithCells="1" sizeWithCells="1">
                  <from>
                    <xdr:col>17</xdr:col>
                    <xdr:colOff>635000</xdr:colOff>
                    <xdr:row>74</xdr:row>
                    <xdr:rowOff>171450</xdr:rowOff>
                  </from>
                  <to>
                    <xdr:col>19</xdr:col>
                    <xdr:colOff>0</xdr:colOff>
                    <xdr:row>77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2B009-C1BB-4D81-97DD-66930E39E2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Q3:Q16</xm:sqref>
        </x14:conditionalFormatting>
        <x14:conditionalFormatting xmlns:xm="http://schemas.microsoft.com/office/excel/2006/main">
          <x14:cfRule type="dataBar" id="{679FF5D4-CFCE-4595-AB84-A573551049E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</xm:sqref>
        </x14:conditionalFormatting>
        <x14:conditionalFormatting xmlns:xm="http://schemas.microsoft.com/office/excel/2006/main">
          <x14:cfRule type="dataBar" id="{A8FBCAF3-F6C5-4A76-9B20-BAC0505621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Q34:Q37</xm:sqref>
        </x14:conditionalFormatting>
        <x14:conditionalFormatting xmlns:xm="http://schemas.microsoft.com/office/excel/2006/main">
          <x14:cfRule type="dataBar" id="{39624399-C6AC-4D6D-AE6D-E6BE1EDA12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Q34:Q41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Drone Shepherd</vt:lpstr>
      <vt:lpstr>member</vt:lpstr>
    </vt:vector>
  </TitlesOfParts>
  <Company>University of Kent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N.J.R.Bailey</dc:creator>
  <cp:lastModifiedBy>Nicholas Bailey</cp:lastModifiedBy>
  <dcterms:created xsi:type="dcterms:W3CDTF">2017-01-31T15:43:53Z</dcterms:created>
  <dcterms:modified xsi:type="dcterms:W3CDTF">2019-03-27T15:56:35Z</dcterms:modified>
</cp:coreProperties>
</file>